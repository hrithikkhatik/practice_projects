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F7B55071-E6DB-40A7-84B2-0EFAE32D60EE}" xr6:coauthVersionLast="47" xr6:coauthVersionMax="47" xr10:uidLastSave="{00000000-0000-0000-0000-000000000000}"/>
  <bookViews>
    <workbookView xWindow="-110" yWindow="-110" windowWidth="21820" windowHeight="13900" xr2:uid="{2171130C-312D-4263-B0A1-E9BCA3D3DD8C}"/>
  </bookViews>
  <sheets>
    <sheet name="SHEET 1  Employee_Data" sheetId="1" r:id="rId1"/>
    <sheet name="SHEET 2  Department_Table" sheetId="2" r:id="rId2"/>
    <sheet name="SHEET 3  Horizontal_Bonus_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2" i="1"/>
  <c r="AQ3" i="1"/>
  <c r="AQ4" i="1"/>
  <c r="AQ5" i="1"/>
  <c r="AQ6" i="1"/>
  <c r="AQ7" i="1"/>
  <c r="AQ8" i="1"/>
  <c r="AQ9" i="1"/>
  <c r="AQ10" i="1"/>
  <c r="AQ11" i="1"/>
  <c r="AQ2" i="1"/>
  <c r="AP3" i="1"/>
  <c r="AP4" i="1"/>
  <c r="AP5" i="1"/>
  <c r="AP6" i="1"/>
  <c r="AP7" i="1"/>
  <c r="AP8" i="1"/>
  <c r="AP9" i="1"/>
  <c r="AP10" i="1"/>
  <c r="AP11" i="1"/>
  <c r="AP2" i="1"/>
  <c r="AO3" i="1"/>
  <c r="AO4" i="1"/>
  <c r="AO5" i="1"/>
  <c r="AO6" i="1"/>
  <c r="AO7" i="1"/>
  <c r="AO8" i="1"/>
  <c r="AO9" i="1"/>
  <c r="AO10" i="1"/>
  <c r="AO11" i="1"/>
  <c r="AO2" i="1"/>
  <c r="AN3" i="1"/>
  <c r="AN4" i="1"/>
  <c r="AN5" i="1"/>
  <c r="AN6" i="1"/>
  <c r="AN7" i="1"/>
  <c r="AN8" i="1"/>
  <c r="AN9" i="1"/>
  <c r="AN10" i="1"/>
  <c r="AN11" i="1"/>
  <c r="AN2" i="1"/>
  <c r="AM3" i="1"/>
  <c r="AM4" i="1"/>
  <c r="AM5" i="1"/>
  <c r="AM6" i="1"/>
  <c r="AM7" i="1"/>
  <c r="AM8" i="1"/>
  <c r="AM9" i="1"/>
  <c r="AM10" i="1"/>
  <c r="AM11" i="1"/>
  <c r="AM2" i="1"/>
  <c r="AL3" i="1"/>
  <c r="AL4" i="1"/>
  <c r="AL5" i="1"/>
  <c r="AL6" i="1"/>
  <c r="AL7" i="1"/>
  <c r="AL8" i="1"/>
  <c r="AL9" i="1"/>
  <c r="AL10" i="1"/>
  <c r="AL11" i="1"/>
  <c r="AL2" i="1"/>
  <c r="AK3" i="1"/>
  <c r="AK4" i="1"/>
  <c r="AK5" i="1"/>
  <c r="AK6" i="1"/>
  <c r="AK7" i="1"/>
  <c r="AK8" i="1"/>
  <c r="AK9" i="1"/>
  <c r="AK10" i="1"/>
  <c r="AK11" i="1"/>
  <c r="AK2" i="1"/>
  <c r="AJ3" i="1"/>
  <c r="AJ4" i="1"/>
  <c r="AJ5" i="1"/>
  <c r="AJ6" i="1"/>
  <c r="AJ7" i="1"/>
  <c r="AJ8" i="1"/>
  <c r="AJ9" i="1"/>
  <c r="AJ10" i="1"/>
  <c r="AJ11" i="1"/>
  <c r="AJ2" i="1"/>
  <c r="AI3" i="1"/>
  <c r="AI4" i="1"/>
  <c r="AI5" i="1"/>
  <c r="AI6" i="1"/>
  <c r="AI7" i="1"/>
  <c r="AI8" i="1"/>
  <c r="AI9" i="1"/>
  <c r="AI10" i="1"/>
  <c r="AI11" i="1"/>
  <c r="AI2" i="1"/>
  <c r="AH3" i="1"/>
  <c r="AH4" i="1"/>
  <c r="AH5" i="1"/>
  <c r="AH6" i="1"/>
  <c r="AH7" i="1"/>
  <c r="AH8" i="1"/>
  <c r="AH9" i="1"/>
  <c r="AH10" i="1"/>
  <c r="AH11" i="1"/>
  <c r="AH2" i="1"/>
  <c r="AG3" i="1"/>
  <c r="AG4" i="1"/>
  <c r="AG5" i="1"/>
  <c r="AG6" i="1"/>
  <c r="AG7" i="1"/>
  <c r="AG8" i="1"/>
  <c r="AG9" i="1"/>
  <c r="AG10" i="1"/>
  <c r="AG11" i="1"/>
  <c r="AG2" i="1"/>
  <c r="AF3" i="1"/>
  <c r="AF4" i="1"/>
  <c r="AF5" i="1"/>
  <c r="AF6" i="1"/>
  <c r="AF7" i="1"/>
  <c r="AF8" i="1"/>
  <c r="AF9" i="1"/>
  <c r="AF10" i="1"/>
  <c r="AF11" i="1"/>
  <c r="AF2" i="1"/>
  <c r="AE3" i="1"/>
  <c r="AE4" i="1"/>
  <c r="AE5" i="1"/>
  <c r="AE6" i="1"/>
  <c r="AE7" i="1"/>
  <c r="AE8" i="1"/>
  <c r="AE9" i="1"/>
  <c r="AE10" i="1"/>
  <c r="AE11" i="1"/>
  <c r="AE2" i="1"/>
  <c r="AD3" i="1"/>
  <c r="AD4" i="1"/>
  <c r="AD5" i="1"/>
  <c r="AD6" i="1"/>
  <c r="AD7" i="1"/>
  <c r="AD8" i="1"/>
  <c r="AD9" i="1"/>
  <c r="AD10" i="1"/>
  <c r="AD11" i="1"/>
  <c r="AD2" i="1"/>
  <c r="AC3" i="1"/>
  <c r="AC4" i="1"/>
  <c r="AC5" i="1"/>
  <c r="AC6" i="1"/>
  <c r="AC7" i="1"/>
  <c r="AC8" i="1"/>
  <c r="AC9" i="1"/>
  <c r="AC10" i="1"/>
  <c r="AC11" i="1"/>
  <c r="AC2" i="1"/>
  <c r="AB3" i="1"/>
  <c r="AB4" i="1"/>
  <c r="AB5" i="1"/>
  <c r="AB6" i="1"/>
  <c r="AB7" i="1"/>
  <c r="AB8" i="1"/>
  <c r="AB9" i="1"/>
  <c r="AB10" i="1"/>
  <c r="AB11" i="1"/>
  <c r="AB2" i="1"/>
  <c r="Z3" i="1"/>
  <c r="Z4" i="1"/>
  <c r="Z5" i="1"/>
  <c r="Z6" i="1"/>
  <c r="Z7" i="1"/>
  <c r="Z8" i="1"/>
  <c r="Z9" i="1"/>
  <c r="Z10" i="1"/>
  <c r="Z11" i="1"/>
  <c r="AA3" i="1"/>
  <c r="AA4" i="1"/>
  <c r="AA5" i="1"/>
  <c r="AA6" i="1"/>
  <c r="AA7" i="1"/>
  <c r="AA8" i="1"/>
  <c r="AA9" i="1"/>
  <c r="AA10" i="1"/>
  <c r="AA11" i="1"/>
  <c r="AA2" i="1"/>
  <c r="Z2" i="1"/>
  <c r="Y3" i="1"/>
  <c r="Y4" i="1"/>
  <c r="Y5" i="1"/>
  <c r="Y6" i="1"/>
  <c r="Y7" i="1"/>
  <c r="Y8" i="1"/>
  <c r="Y9" i="1"/>
  <c r="Y10" i="1"/>
  <c r="Y11" i="1"/>
  <c r="Y2" i="1"/>
  <c r="B24" i="1"/>
  <c r="B23" i="1"/>
  <c r="B22" i="1"/>
  <c r="X3" i="1"/>
  <c r="X4" i="1"/>
  <c r="X5" i="1"/>
  <c r="X6" i="1"/>
  <c r="X7" i="1"/>
  <c r="X8" i="1"/>
  <c r="X9" i="1"/>
  <c r="X10" i="1"/>
  <c r="X11" i="1"/>
  <c r="X2" i="1"/>
  <c r="W3" i="1"/>
  <c r="W4" i="1"/>
  <c r="W5" i="1"/>
  <c r="W6" i="1"/>
  <c r="W7" i="1"/>
  <c r="W8" i="1"/>
  <c r="W9" i="1"/>
  <c r="W10" i="1"/>
  <c r="W11" i="1"/>
  <c r="W2" i="1"/>
  <c r="V3" i="1"/>
  <c r="V4" i="1"/>
  <c r="V5" i="1"/>
  <c r="V6" i="1"/>
  <c r="V7" i="1"/>
  <c r="V8" i="1"/>
  <c r="V9" i="1"/>
  <c r="V10" i="1"/>
  <c r="V11" i="1"/>
  <c r="V2" i="1"/>
  <c r="B21" i="1"/>
  <c r="B20" i="1"/>
  <c r="B19" i="1"/>
  <c r="U3" i="1"/>
  <c r="U4" i="1"/>
  <c r="U5" i="1"/>
  <c r="U6" i="1"/>
  <c r="U7" i="1"/>
  <c r="U8" i="1"/>
  <c r="U9" i="1"/>
  <c r="U10" i="1"/>
  <c r="U11" i="1"/>
  <c r="U2" i="1"/>
  <c r="T3" i="1"/>
  <c r="T4" i="1"/>
  <c r="T5" i="1"/>
  <c r="T6" i="1"/>
  <c r="T7" i="1"/>
  <c r="T8" i="1"/>
  <c r="T9" i="1"/>
  <c r="T10" i="1"/>
  <c r="T11" i="1"/>
  <c r="T2" i="1"/>
  <c r="S2" i="1"/>
  <c r="S11" i="1"/>
  <c r="S3" i="1"/>
  <c r="S4" i="1"/>
  <c r="S5" i="1"/>
  <c r="S6" i="1"/>
  <c r="S7" i="1"/>
  <c r="S8" i="1"/>
  <c r="S9" i="1"/>
  <c r="S10" i="1"/>
  <c r="B18" i="1"/>
  <c r="B17" i="1"/>
  <c r="B16" i="1"/>
  <c r="R3" i="1"/>
  <c r="R4" i="1"/>
  <c r="R5" i="1"/>
  <c r="R6" i="1"/>
  <c r="R7" i="1"/>
  <c r="R8" i="1"/>
  <c r="R9" i="1"/>
  <c r="R10" i="1"/>
  <c r="R11" i="1"/>
  <c r="R2" i="1"/>
  <c r="B15" i="1"/>
  <c r="Q2" i="1"/>
  <c r="Q3" i="1"/>
  <c r="Q4" i="1"/>
  <c r="Q5" i="1"/>
  <c r="Q6" i="1"/>
  <c r="Q7" i="1"/>
  <c r="Q8" i="1"/>
  <c r="Q9" i="1"/>
  <c r="Q10" i="1"/>
  <c r="Q11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L3" i="1"/>
  <c r="M3" i="1" s="1"/>
  <c r="N3" i="1" s="1"/>
  <c r="L4" i="1"/>
  <c r="M4" i="1" s="1"/>
  <c r="N4" i="1" s="1"/>
  <c r="L5" i="1"/>
  <c r="M5" i="1" s="1"/>
  <c r="N5" i="1" s="1"/>
  <c r="L6" i="1"/>
  <c r="M6" i="1" s="1"/>
  <c r="N6" i="1" s="1"/>
  <c r="L7" i="1"/>
  <c r="M7" i="1" s="1"/>
  <c r="N7" i="1" s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2" i="1"/>
  <c r="M2" i="1" s="1"/>
  <c r="N2" i="1" s="1"/>
  <c r="K3" i="1"/>
  <c r="K4" i="1"/>
  <c r="K5" i="1"/>
  <c r="K6" i="1"/>
  <c r="K7" i="1"/>
  <c r="K8" i="1"/>
  <c r="K9" i="1"/>
  <c r="K10" i="1"/>
  <c r="K11" i="1"/>
  <c r="K2" i="1"/>
  <c r="B14" i="1" l="1"/>
</calcChain>
</file>

<file path=xl/sharedStrings.xml><?xml version="1.0" encoding="utf-8"?>
<sst xmlns="http://schemas.openxmlformats.org/spreadsheetml/2006/main" count="101" uniqueCount="84">
  <si>
    <t>Emp ID</t>
  </si>
  <si>
    <t>Name</t>
  </si>
  <si>
    <t>Dept Code</t>
  </si>
  <si>
    <t>Basic</t>
  </si>
  <si>
    <t>Sales</t>
  </si>
  <si>
    <t>Start Date</t>
  </si>
  <si>
    <t>End Date</t>
  </si>
  <si>
    <t>Working Days</t>
  </si>
  <si>
    <t>Present Days</t>
  </si>
  <si>
    <t>Rating</t>
  </si>
  <si>
    <t>E101</t>
  </si>
  <si>
    <t>Rahul Sharma</t>
  </si>
  <si>
    <t>D01</t>
  </si>
  <si>
    <t>E102</t>
  </si>
  <si>
    <t>Priya Verma</t>
  </si>
  <si>
    <t>D02</t>
  </si>
  <si>
    <t>E103</t>
  </si>
  <si>
    <t>Amit Singh</t>
  </si>
  <si>
    <t>E104</t>
  </si>
  <si>
    <t>Neha Gupta</t>
  </si>
  <si>
    <t>D03</t>
  </si>
  <si>
    <t>E105</t>
  </si>
  <si>
    <t>Vikram Patel</t>
  </si>
  <si>
    <t>E106</t>
  </si>
  <si>
    <t>Anjali Mehta</t>
  </si>
  <si>
    <t>D04</t>
  </si>
  <si>
    <t>E107</t>
  </si>
  <si>
    <t>Suresh Kumar</t>
  </si>
  <si>
    <t>E108</t>
  </si>
  <si>
    <t>Kavita Joshi</t>
  </si>
  <si>
    <t>E109</t>
  </si>
  <si>
    <t>Mohit Agarwal</t>
  </si>
  <si>
    <t>E110</t>
  </si>
  <si>
    <t>Pooja Reddy</t>
  </si>
  <si>
    <t>Department Name</t>
  </si>
  <si>
    <t>Bonus %</t>
  </si>
  <si>
    <t>Marketing</t>
  </si>
  <si>
    <t>HR</t>
  </si>
  <si>
    <t>IT</t>
  </si>
  <si>
    <t>Bonus%</t>
  </si>
  <si>
    <t>total salary</t>
  </si>
  <si>
    <t>Bonus Amount</t>
  </si>
  <si>
    <t>final salary</t>
  </si>
  <si>
    <t>total payout</t>
  </si>
  <si>
    <t>average salary</t>
  </si>
  <si>
    <t>Absent Days</t>
  </si>
  <si>
    <t>Attendance %</t>
  </si>
  <si>
    <t>working days</t>
  </si>
  <si>
    <t>Present Days &gt; 22</t>
  </si>
  <si>
    <t>rank</t>
  </si>
  <si>
    <t>Highest Sales</t>
  </si>
  <si>
    <t>Lowest Sales</t>
  </si>
  <si>
    <t>Average Sales</t>
  </si>
  <si>
    <t>Performance Status</t>
  </si>
  <si>
    <t>sales performance</t>
  </si>
  <si>
    <t>rating and sales</t>
  </si>
  <si>
    <t>Total Sales of D01</t>
  </si>
  <si>
    <t>Count employees in D02</t>
  </si>
  <si>
    <t>weighted score (Sales * Rating)</t>
  </si>
  <si>
    <t>department name(vlookup)</t>
  </si>
  <si>
    <t>department name(xlookup)</t>
  </si>
  <si>
    <t>INDEX to fetch 5th employee name</t>
  </si>
  <si>
    <t>MATCH to find position of "Amit Singh"</t>
  </si>
  <si>
    <t>INDEX + MATCH to get Sales of "Neha Gupta"</t>
  </si>
  <si>
    <t>UPPER</t>
  </si>
  <si>
    <t>LOWER</t>
  </si>
  <si>
    <t>proper</t>
  </si>
  <si>
    <t>left</t>
  </si>
  <si>
    <t>mid</t>
  </si>
  <si>
    <t>right</t>
  </si>
  <si>
    <t>substitute</t>
  </si>
  <si>
    <t>trim</t>
  </si>
  <si>
    <t>Join Emp ID &amp; Name(concat)</t>
  </si>
  <si>
    <t>Join Emp ID &amp; Name(&amp;)</t>
  </si>
  <si>
    <t>textjoin</t>
  </si>
  <si>
    <t>len</t>
  </si>
  <si>
    <t>today</t>
  </si>
  <si>
    <t>now</t>
  </si>
  <si>
    <t>day</t>
  </si>
  <si>
    <t>month</t>
  </si>
  <si>
    <t>year</t>
  </si>
  <si>
    <t>total days</t>
  </si>
  <si>
    <t>rand</t>
  </si>
  <si>
    <t>randbetween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</si>
</sst>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5CD9-103C-40B7-B3EB-45091D263F59}">
  <dimension ref="A1:AR24"/>
  <sheetViews>
    <sheetView tabSelected="1" workbookViewId="0">
      <selection activeCell="A8" sqref="A8"/>
    </sheetView>
  </sheetViews>
  <sheetFormatPr defaultRowHeight="14.5" x14ac:dyDescent="0.35"/>
  <cols>
    <col min="1" max="1" width="37.81640625" bestFit="1" customWidth="1"/>
    <col min="2" max="2" width="12.08984375" bestFit="1" customWidth="1"/>
    <col min="3" max="3" width="9.54296875" bestFit="1" customWidth="1"/>
    <col min="4" max="5" width="5.81640625" bestFit="1" customWidth="1"/>
    <col min="6" max="6" width="9.08984375" bestFit="1" customWidth="1"/>
    <col min="7" max="7" width="10.08984375" bestFit="1" customWidth="1"/>
    <col min="8" max="8" width="12.08984375" bestFit="1" customWidth="1"/>
    <col min="9" max="9" width="11.6328125" bestFit="1" customWidth="1"/>
    <col min="10" max="10" width="6.1796875" bestFit="1" customWidth="1"/>
    <col min="11" max="11" width="10" bestFit="1" customWidth="1"/>
    <col min="12" max="12" width="13" bestFit="1" customWidth="1"/>
    <col min="13" max="13" width="10" bestFit="1" customWidth="1"/>
    <col min="14" max="14" width="10.7265625" bestFit="1" customWidth="1"/>
    <col min="15" max="15" width="11.08984375" bestFit="1" customWidth="1"/>
    <col min="16" max="16" width="12.36328125" bestFit="1" customWidth="1"/>
    <col min="17" max="17" width="11.6328125" bestFit="1" customWidth="1"/>
    <col min="18" max="18" width="15.26953125" bestFit="1" customWidth="1"/>
    <col min="19" max="19" width="17" bestFit="1" customWidth="1"/>
    <col min="20" max="20" width="16.36328125" bestFit="1" customWidth="1"/>
    <col min="21" max="21" width="14" bestFit="1" customWidth="1"/>
    <col min="22" max="22" width="26.1796875" bestFit="1" customWidth="1"/>
    <col min="23" max="23" width="23.90625" bestFit="1" customWidth="1"/>
    <col min="25" max="25" width="14.90625" bestFit="1" customWidth="1"/>
    <col min="26" max="26" width="11.36328125" bestFit="1" customWidth="1"/>
    <col min="27" max="27" width="11.90625" bestFit="1" customWidth="1"/>
    <col min="31" max="31" width="13.90625" bestFit="1" customWidth="1"/>
    <col min="32" max="32" width="11.90625" bestFit="1" customWidth="1"/>
    <col min="33" max="34" width="23.81640625" bestFit="1" customWidth="1"/>
    <col min="37" max="37" width="9.08984375" bestFit="1" customWidth="1"/>
    <col min="38" max="38" width="14.08984375" bestFit="1" customWidth="1"/>
    <col min="42" max="42" width="9.08984375" bestFit="1" customWidth="1"/>
    <col min="44" max="44" width="11.81640625" bestFit="1" customWidth="1"/>
  </cols>
  <sheetData>
    <row r="1" spans="1:44" s="6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40</v>
      </c>
      <c r="L1" s="2" t="s">
        <v>41</v>
      </c>
      <c r="M1" s="2" t="s">
        <v>42</v>
      </c>
      <c r="N1" s="2" t="s">
        <v>43</v>
      </c>
      <c r="O1" s="6" t="s">
        <v>45</v>
      </c>
      <c r="P1" s="6" t="s">
        <v>46</v>
      </c>
      <c r="Q1" s="6" t="s">
        <v>47</v>
      </c>
      <c r="R1" s="6" t="s">
        <v>49</v>
      </c>
      <c r="S1" s="6" t="s">
        <v>53</v>
      </c>
      <c r="T1" s="6" t="s">
        <v>54</v>
      </c>
      <c r="U1" s="6" t="s">
        <v>55</v>
      </c>
      <c r="V1" s="6" t="s">
        <v>59</v>
      </c>
      <c r="W1" s="6" t="s">
        <v>60</v>
      </c>
      <c r="X1" s="6" t="s">
        <v>35</v>
      </c>
      <c r="Y1" s="6" t="s">
        <v>64</v>
      </c>
      <c r="Z1" s="6" t="s">
        <v>65</v>
      </c>
      <c r="AA1" s="6" t="s">
        <v>66</v>
      </c>
      <c r="AB1" s="6" t="s">
        <v>67</v>
      </c>
      <c r="AC1" s="6" t="s">
        <v>68</v>
      </c>
      <c r="AD1" s="6" t="s">
        <v>69</v>
      </c>
      <c r="AE1" s="6" t="s">
        <v>70</v>
      </c>
      <c r="AF1" s="6" t="s">
        <v>71</v>
      </c>
      <c r="AG1" s="6" t="s">
        <v>72</v>
      </c>
      <c r="AH1" s="6" t="s">
        <v>73</v>
      </c>
      <c r="AI1" s="6" t="s">
        <v>74</v>
      </c>
      <c r="AJ1" s="6" t="s">
        <v>75</v>
      </c>
      <c r="AK1" s="6" t="s">
        <v>76</v>
      </c>
      <c r="AL1" s="6" t="s">
        <v>77</v>
      </c>
      <c r="AM1" s="6" t="s">
        <v>78</v>
      </c>
      <c r="AN1" s="6" t="s">
        <v>79</v>
      </c>
      <c r="AO1" s="6" t="s">
        <v>80</v>
      </c>
      <c r="AP1" s="6" t="s">
        <v>81</v>
      </c>
      <c r="AQ1" s="6" t="s">
        <v>82</v>
      </c>
      <c r="AR1" s="6" t="s">
        <v>83</v>
      </c>
    </row>
    <row r="2" spans="1:44" x14ac:dyDescent="0.35">
      <c r="A2" s="3" t="s">
        <v>10</v>
      </c>
      <c r="B2" s="3" t="s">
        <v>11</v>
      </c>
      <c r="C2" s="3" t="s">
        <v>12</v>
      </c>
      <c r="D2" s="3">
        <v>25000</v>
      </c>
      <c r="E2" s="3">
        <v>80000</v>
      </c>
      <c r="F2" s="4">
        <v>46023</v>
      </c>
      <c r="G2" s="4">
        <v>46053</v>
      </c>
      <c r="H2" s="3">
        <v>26</v>
      </c>
      <c r="I2" s="3">
        <v>24</v>
      </c>
      <c r="J2" s="3">
        <v>5</v>
      </c>
      <c r="K2">
        <f>SUM(D2,E2)</f>
        <v>105000</v>
      </c>
      <c r="L2">
        <f>E2*VLOOKUP(C2,'SHEET 2  Department_Table'!$A$1:$C$5,3,FALSE)</f>
        <v>8000</v>
      </c>
      <c r="M2">
        <f>SUM(D2,L2)</f>
        <v>33000</v>
      </c>
      <c r="N2">
        <f>SUM(E2+M2)</f>
        <v>113000</v>
      </c>
      <c r="O2">
        <f>H2-I2</f>
        <v>2</v>
      </c>
      <c r="P2" s="8">
        <f>I2/H2*100</f>
        <v>92.307692307692307</v>
      </c>
      <c r="Q2">
        <f t="shared" ref="Q2:Q11" si="0">NETWORKDAYS(F2,G2)</f>
        <v>22</v>
      </c>
      <c r="R2">
        <f>RANK(E2,$E$2:$E$11,0)</f>
        <v>3</v>
      </c>
      <c r="S2" t="str">
        <f>IF(J2&gt;=4,"Excellent","Average")</f>
        <v>Excellent</v>
      </c>
      <c r="T2" t="b">
        <f>IF(E2&gt;80000,IF(J2&gt;=4,"Star Performer"))</f>
        <v>0</v>
      </c>
      <c r="U2" t="str">
        <f>IF(OR(J2=5,E2&gt;90000),"Top Talent")</f>
        <v>Top Talent</v>
      </c>
      <c r="V2" t="str">
        <f>VLOOKUP(C2,'SHEET 2  Department_Table'!$A$1:$C$5,2,FALSE)</f>
        <v>Sales</v>
      </c>
      <c r="W2" t="str">
        <f>_xlfn.XLOOKUP(C2,'SHEET 2  Department_Table'!$A$1:$A$5,'SHEET 2  Department_Table'!$B$1:$B$5,,0)</f>
        <v>Sales</v>
      </c>
      <c r="X2">
        <f>100*HLOOKUP(C2,'SHEET 3  Horizontal_Bonus_Table'!$A$1:$E$2,2,FALSE)</f>
        <v>10</v>
      </c>
      <c r="Y2" t="str">
        <f>UPPER(B2)</f>
        <v>RAHUL SHARMA</v>
      </c>
      <c r="Z2" t="str">
        <f>LOWER(B2)</f>
        <v>rahul sharma</v>
      </c>
      <c r="AA2" t="str">
        <f>PROPER(B2)</f>
        <v>Rahul Sharma</v>
      </c>
      <c r="AB2" t="str">
        <f>LEFT(B2,3)</f>
        <v>Rah</v>
      </c>
      <c r="AC2" t="str">
        <f>MID(B2,4,3)</f>
        <v xml:space="preserve">ul </v>
      </c>
      <c r="AD2" t="str">
        <f>RIGHT(B2,2)</f>
        <v>ma</v>
      </c>
      <c r="AE2" t="str">
        <f>SUBSTITUTE(B2,"a","@")</f>
        <v>R@hul Sh@rm@</v>
      </c>
      <c r="AF2" t="str">
        <f>TRIM(B2)</f>
        <v>Rahul Sharma</v>
      </c>
      <c r="AG2" t="str">
        <f>_xlfn.CONCAT(A2," ",B2)</f>
        <v>E101 Rahul Sharma</v>
      </c>
      <c r="AH2" t="str">
        <f>A2&amp;" "&amp;B2</f>
        <v>E101 Rahul Sharma</v>
      </c>
      <c r="AI2" t="str">
        <f>_xlfn.TEXTJOIN("~",TRUE,A2:AH2)</f>
        <v>E101~Rahul Sharma~D01~25000~80000~46023~46053~26~24~5~105000~8000~33000~113000~2~92.3076923076923~22~3~Excellent~FALSE~Top Talent~Sales~Sales~10~RAHUL SHARMA~rahul sharma~Rahul Sharma~Rah~ul ~ma~R@hul Sh@rm@~Rahul Sharma~E101 Rahul Sharma~E101 Rahul Sharma</v>
      </c>
      <c r="AJ2">
        <f>LEN(B2)</f>
        <v>12</v>
      </c>
      <c r="AK2" s="1">
        <f ca="1">TODAY()</f>
        <v>46077</v>
      </c>
      <c r="AL2" s="9">
        <f ca="1">NOW()</f>
        <v>46077.813459143516</v>
      </c>
      <c r="AM2">
        <f>DAY(F2)</f>
        <v>1</v>
      </c>
      <c r="AN2">
        <f>MONTH(F2)</f>
        <v>1</v>
      </c>
      <c r="AO2">
        <f>YEAR(F2)</f>
        <v>2026</v>
      </c>
      <c r="AP2" s="8">
        <f>_xlfn.DAYS(G2,F2) + 1</f>
        <v>31</v>
      </c>
      <c r="AQ2">
        <f ca="1">RAND()</f>
        <v>0.86974244366376108</v>
      </c>
      <c r="AR2">
        <f ca="1">RANDBETWEEN(1,100)</f>
        <v>14</v>
      </c>
    </row>
    <row r="3" spans="1:44" x14ac:dyDescent="0.35">
      <c r="A3" s="3" t="s">
        <v>13</v>
      </c>
      <c r="B3" s="3" t="s">
        <v>14</v>
      </c>
      <c r="C3" s="3" t="s">
        <v>15</v>
      </c>
      <c r="D3" s="3">
        <v>22000</v>
      </c>
      <c r="E3" s="3">
        <v>60000</v>
      </c>
      <c r="F3" s="4">
        <v>46023</v>
      </c>
      <c r="G3" s="4">
        <v>46053</v>
      </c>
      <c r="H3" s="3">
        <v>26</v>
      </c>
      <c r="I3" s="3">
        <v>22</v>
      </c>
      <c r="J3" s="3">
        <v>4</v>
      </c>
      <c r="K3">
        <f t="shared" ref="K3:K11" si="1">SUM(D3,E3)</f>
        <v>82000</v>
      </c>
      <c r="L3">
        <f>E3*VLOOKUP(C3,'SHEET 2  Department_Table'!$A$1:$C$5,3,FALSE)</f>
        <v>4800</v>
      </c>
      <c r="M3">
        <f t="shared" ref="M3:M11" si="2">SUM(D3,L3)</f>
        <v>26800</v>
      </c>
      <c r="N3">
        <f t="shared" ref="N3:N11" si="3">SUM(E3+M3)</f>
        <v>86800</v>
      </c>
      <c r="O3">
        <f t="shared" ref="O3:O11" si="4">H3-I3</f>
        <v>4</v>
      </c>
      <c r="P3" s="8">
        <f t="shared" ref="P3:P11" si="5">I3/H3*100</f>
        <v>84.615384615384613</v>
      </c>
      <c r="Q3">
        <f t="shared" si="0"/>
        <v>22</v>
      </c>
      <c r="R3">
        <f t="shared" ref="R3:R11" si="6">RANK(E3,$E$2:$E$11,0)</f>
        <v>5</v>
      </c>
      <c r="S3" t="str">
        <f t="shared" ref="S3:S10" si="7">IF(J3&gt;=4,"Excellent","Average")</f>
        <v>Excellent</v>
      </c>
      <c r="T3" t="b">
        <f t="shared" ref="T3:T11" si="8">IF(E3&gt;80000,IF(J3&gt;=4,"Star Performer"))</f>
        <v>0</v>
      </c>
      <c r="U3" t="b">
        <f t="shared" ref="U3:U11" si="9">IF(OR(J3=5,E3&gt;90000),"Top Talent")</f>
        <v>0</v>
      </c>
      <c r="V3" t="str">
        <f>VLOOKUP(C3,'SHEET 2  Department_Table'!$A$1:$C$5,2,FALSE)</f>
        <v>Marketing</v>
      </c>
      <c r="W3" t="str">
        <f>_xlfn.XLOOKUP(C3,'SHEET 2  Department_Table'!$A$1:$A$5,'SHEET 2  Department_Table'!$B$1:$B$5,,0)</f>
        <v>Marketing</v>
      </c>
      <c r="X3">
        <f>100*HLOOKUP(C3,'SHEET 3  Horizontal_Bonus_Table'!$A$1:$E$2,2,FALSE)</f>
        <v>8</v>
      </c>
      <c r="Y3" t="str">
        <f t="shared" ref="Y3:Y11" si="10">UPPER(B3)</f>
        <v>PRIYA VERMA</v>
      </c>
      <c r="Z3" t="str">
        <f t="shared" ref="Z3:Z11" si="11">LOWER(B3)</f>
        <v>priya verma</v>
      </c>
      <c r="AA3" t="str">
        <f t="shared" ref="AA3:AA11" si="12">PROPER(B3)</f>
        <v>Priya Verma</v>
      </c>
      <c r="AB3" t="str">
        <f t="shared" ref="AB3:AB11" si="13">LEFT(B3,3)</f>
        <v>Pri</v>
      </c>
      <c r="AC3" t="str">
        <f t="shared" ref="AC3:AC11" si="14">MID(B3,4,3)</f>
        <v xml:space="preserve">ya </v>
      </c>
      <c r="AD3" t="str">
        <f t="shared" ref="AD3:AD11" si="15">RIGHT(B3,2)</f>
        <v>ma</v>
      </c>
      <c r="AE3" t="str">
        <f t="shared" ref="AE3:AE11" si="16">SUBSTITUTE(B3,"a","@")</f>
        <v>Priy@ Verm@</v>
      </c>
      <c r="AF3" t="str">
        <f t="shared" ref="AF3:AF11" si="17">TRIM(B3)</f>
        <v>Priya Verma</v>
      </c>
      <c r="AG3" t="str">
        <f t="shared" ref="AG3:AG11" si="18">_xlfn.CONCAT(A3," ",B3)</f>
        <v>E102 Priya Verma</v>
      </c>
      <c r="AH3" t="str">
        <f t="shared" ref="AH3:AH11" si="19">A3&amp;" "&amp;B3</f>
        <v>E102 Priya Verma</v>
      </c>
      <c r="AI3" t="str">
        <f t="shared" ref="AI3:AI11" si="20">_xlfn.TEXTJOIN("~",TRUE,A3:AH3)</f>
        <v>E102~Priya Verma~D02~22000~60000~46023~46053~26~22~4~82000~4800~26800~86800~4~84.6153846153846~22~5~Excellent~FALSE~FALSE~Marketing~Marketing~8~PRIYA VERMA~priya verma~Priya Verma~Pri~ya ~ma~Priy@ Verm@~Priya Verma~E102 Priya Verma~E102 Priya Verma</v>
      </c>
      <c r="AJ3">
        <f t="shared" ref="AJ3:AJ11" si="21">LEN(B3)</f>
        <v>11</v>
      </c>
      <c r="AK3" s="1">
        <f t="shared" ref="AK3:AK11" ca="1" si="22">TODAY()</f>
        <v>46077</v>
      </c>
      <c r="AL3" s="9">
        <f t="shared" ref="AL3:AL11" ca="1" si="23">NOW()</f>
        <v>46077.813459143516</v>
      </c>
      <c r="AM3">
        <f t="shared" ref="AM3:AM11" si="24">DAY(F3)</f>
        <v>1</v>
      </c>
      <c r="AN3">
        <f t="shared" ref="AN3:AN11" si="25">MONTH(F3)</f>
        <v>1</v>
      </c>
      <c r="AO3">
        <f t="shared" ref="AO3:AO11" si="26">YEAR(F3)</f>
        <v>2026</v>
      </c>
      <c r="AP3" s="8">
        <f t="shared" ref="AP3:AP11" si="27">_xlfn.DAYS(G3,F3) + 1</f>
        <v>31</v>
      </c>
      <c r="AQ3">
        <f t="shared" ref="AQ3:AQ11" ca="1" si="28">RAND()</f>
        <v>0.66318468078336379</v>
      </c>
      <c r="AR3">
        <f t="shared" ref="AR3:AR11" ca="1" si="29">RANDBETWEEN(1,100)</f>
        <v>39</v>
      </c>
    </row>
    <row r="4" spans="1:44" x14ac:dyDescent="0.35">
      <c r="A4" s="3" t="s">
        <v>16</v>
      </c>
      <c r="B4" s="3" t="s">
        <v>17</v>
      </c>
      <c r="C4" s="3" t="s">
        <v>12</v>
      </c>
      <c r="D4" s="3">
        <v>27000</v>
      </c>
      <c r="E4" s="3">
        <v>95000</v>
      </c>
      <c r="F4" s="4">
        <v>46023</v>
      </c>
      <c r="G4" s="4">
        <v>46053</v>
      </c>
      <c r="H4" s="3">
        <v>26</v>
      </c>
      <c r="I4" s="3">
        <v>25</v>
      </c>
      <c r="J4" s="3">
        <v>5</v>
      </c>
      <c r="K4">
        <f t="shared" si="1"/>
        <v>122000</v>
      </c>
      <c r="L4">
        <f>E4*VLOOKUP(C4,'SHEET 2  Department_Table'!$A$1:$C$5,3,FALSE)</f>
        <v>9500</v>
      </c>
      <c r="M4">
        <f t="shared" si="2"/>
        <v>36500</v>
      </c>
      <c r="N4">
        <f t="shared" si="3"/>
        <v>131500</v>
      </c>
      <c r="O4">
        <f t="shared" si="4"/>
        <v>1</v>
      </c>
      <c r="P4" s="8">
        <f t="shared" si="5"/>
        <v>96.15384615384616</v>
      </c>
      <c r="Q4">
        <f t="shared" si="0"/>
        <v>22</v>
      </c>
      <c r="R4">
        <f t="shared" si="6"/>
        <v>1</v>
      </c>
      <c r="S4" t="str">
        <f t="shared" si="7"/>
        <v>Excellent</v>
      </c>
      <c r="T4" t="str">
        <f t="shared" si="8"/>
        <v>Star Performer</v>
      </c>
      <c r="U4" t="str">
        <f t="shared" si="9"/>
        <v>Top Talent</v>
      </c>
      <c r="V4" t="str">
        <f>VLOOKUP(C4,'SHEET 2  Department_Table'!$A$1:$C$5,2,FALSE)</f>
        <v>Sales</v>
      </c>
      <c r="W4" t="str">
        <f>_xlfn.XLOOKUP(C4,'SHEET 2  Department_Table'!$A$1:$A$5,'SHEET 2  Department_Table'!$B$1:$B$5,,0)</f>
        <v>Sales</v>
      </c>
      <c r="X4">
        <f>100*HLOOKUP(C4,'SHEET 3  Horizontal_Bonus_Table'!$A$1:$E$2,2,FALSE)</f>
        <v>10</v>
      </c>
      <c r="Y4" t="str">
        <f t="shared" si="10"/>
        <v>AMIT SINGH</v>
      </c>
      <c r="Z4" t="str">
        <f t="shared" si="11"/>
        <v>amit singh</v>
      </c>
      <c r="AA4" t="str">
        <f t="shared" si="12"/>
        <v>Amit Singh</v>
      </c>
      <c r="AB4" t="str">
        <f t="shared" si="13"/>
        <v>Ami</v>
      </c>
      <c r="AC4" t="str">
        <f t="shared" si="14"/>
        <v>t S</v>
      </c>
      <c r="AD4" t="str">
        <f t="shared" si="15"/>
        <v>gh</v>
      </c>
      <c r="AE4" t="str">
        <f t="shared" si="16"/>
        <v>Amit Singh</v>
      </c>
      <c r="AF4" t="str">
        <f t="shared" si="17"/>
        <v>Amit Singh</v>
      </c>
      <c r="AG4" t="str">
        <f t="shared" si="18"/>
        <v>E103 Amit Singh</v>
      </c>
      <c r="AH4" t="str">
        <f t="shared" si="19"/>
        <v>E103 Amit Singh</v>
      </c>
      <c r="AI4" t="str">
        <f t="shared" si="20"/>
        <v>E103~Amit Singh~D01~27000~95000~46023~46053~26~25~5~122000~9500~36500~131500~1~96.1538461538462~22~1~Excellent~Star Performer~Top Talent~Sales~Sales~10~AMIT SINGH~amit singh~Amit Singh~Ami~t S~gh~Amit Singh~Amit Singh~E103 Amit Singh~E103 Amit Singh</v>
      </c>
      <c r="AJ4">
        <f t="shared" si="21"/>
        <v>10</v>
      </c>
      <c r="AK4" s="1">
        <f t="shared" ca="1" si="22"/>
        <v>46077</v>
      </c>
      <c r="AL4" s="9">
        <f t="shared" ca="1" si="23"/>
        <v>46077.813459143516</v>
      </c>
      <c r="AM4">
        <f t="shared" si="24"/>
        <v>1</v>
      </c>
      <c r="AN4">
        <f t="shared" si="25"/>
        <v>1</v>
      </c>
      <c r="AO4">
        <f t="shared" si="26"/>
        <v>2026</v>
      </c>
      <c r="AP4" s="8">
        <f t="shared" si="27"/>
        <v>31</v>
      </c>
      <c r="AQ4">
        <f t="shared" ca="1" si="28"/>
        <v>0.32841429061199967</v>
      </c>
      <c r="AR4">
        <f t="shared" ca="1" si="29"/>
        <v>96</v>
      </c>
    </row>
    <row r="5" spans="1:44" x14ac:dyDescent="0.35">
      <c r="A5" s="3" t="s">
        <v>18</v>
      </c>
      <c r="B5" s="3" t="s">
        <v>19</v>
      </c>
      <c r="C5" s="3" t="s">
        <v>20</v>
      </c>
      <c r="D5" s="3">
        <v>20000</v>
      </c>
      <c r="E5" s="3">
        <v>40000</v>
      </c>
      <c r="F5" s="4">
        <v>46023</v>
      </c>
      <c r="G5" s="4">
        <v>46053</v>
      </c>
      <c r="H5" s="3">
        <v>26</v>
      </c>
      <c r="I5" s="3">
        <v>20</v>
      </c>
      <c r="J5" s="3">
        <v>3</v>
      </c>
      <c r="K5">
        <f t="shared" si="1"/>
        <v>60000</v>
      </c>
      <c r="L5">
        <f>E5*VLOOKUP(C5,'SHEET 2  Department_Table'!$A$1:$C$5,3,FALSE)</f>
        <v>2000</v>
      </c>
      <c r="M5">
        <f t="shared" si="2"/>
        <v>22000</v>
      </c>
      <c r="N5">
        <f t="shared" si="3"/>
        <v>62000</v>
      </c>
      <c r="O5">
        <f t="shared" si="4"/>
        <v>6</v>
      </c>
      <c r="P5" s="8">
        <f t="shared" si="5"/>
        <v>76.923076923076934</v>
      </c>
      <c r="Q5">
        <f t="shared" si="0"/>
        <v>22</v>
      </c>
      <c r="R5">
        <f t="shared" si="6"/>
        <v>8</v>
      </c>
      <c r="S5" t="str">
        <f t="shared" si="7"/>
        <v>Average</v>
      </c>
      <c r="T5" t="b">
        <f t="shared" si="8"/>
        <v>0</v>
      </c>
      <c r="U5" t="b">
        <f t="shared" si="9"/>
        <v>0</v>
      </c>
      <c r="V5" t="str">
        <f>VLOOKUP(C5,'SHEET 2  Department_Table'!$A$1:$C$5,2,FALSE)</f>
        <v>HR</v>
      </c>
      <c r="W5" t="str">
        <f>_xlfn.XLOOKUP(C5,'SHEET 2  Department_Table'!$A$1:$A$5,'SHEET 2  Department_Table'!$B$1:$B$5,,0)</f>
        <v>HR</v>
      </c>
      <c r="X5">
        <f>100*HLOOKUP(C5,'SHEET 3  Horizontal_Bonus_Table'!$A$1:$E$2,2,FALSE)</f>
        <v>5</v>
      </c>
      <c r="Y5" t="str">
        <f t="shared" si="10"/>
        <v>NEHA GUPTA</v>
      </c>
      <c r="Z5" t="str">
        <f t="shared" si="11"/>
        <v>neha gupta</v>
      </c>
      <c r="AA5" t="str">
        <f t="shared" si="12"/>
        <v>Neha Gupta</v>
      </c>
      <c r="AB5" t="str">
        <f t="shared" si="13"/>
        <v>Neh</v>
      </c>
      <c r="AC5" t="str">
        <f t="shared" si="14"/>
        <v>a G</v>
      </c>
      <c r="AD5" t="str">
        <f t="shared" si="15"/>
        <v>ta</v>
      </c>
      <c r="AE5" t="str">
        <f t="shared" si="16"/>
        <v>Neh@ Gupt@</v>
      </c>
      <c r="AF5" t="str">
        <f t="shared" si="17"/>
        <v>Neha Gupta</v>
      </c>
      <c r="AG5" t="str">
        <f t="shared" si="18"/>
        <v>E104 Neha Gupta</v>
      </c>
      <c r="AH5" t="str">
        <f t="shared" si="19"/>
        <v>E104 Neha Gupta</v>
      </c>
      <c r="AI5" t="str">
        <f t="shared" si="20"/>
        <v>E104~Neha Gupta~D03~20000~40000~46023~46053~26~20~3~60000~2000~22000~62000~6~76.9230769230769~22~8~Average~FALSE~FALSE~HR~HR~5~NEHA GUPTA~neha gupta~Neha Gupta~Neh~a G~ta~Neh@ Gupt@~Neha Gupta~E104 Neha Gupta~E104 Neha Gupta</v>
      </c>
      <c r="AJ5">
        <f t="shared" si="21"/>
        <v>10</v>
      </c>
      <c r="AK5" s="1">
        <f t="shared" ca="1" si="22"/>
        <v>46077</v>
      </c>
      <c r="AL5" s="9">
        <f t="shared" ca="1" si="23"/>
        <v>46077.813459143516</v>
      </c>
      <c r="AM5">
        <f t="shared" si="24"/>
        <v>1</v>
      </c>
      <c r="AN5">
        <f t="shared" si="25"/>
        <v>1</v>
      </c>
      <c r="AO5">
        <f t="shared" si="26"/>
        <v>2026</v>
      </c>
      <c r="AP5" s="8">
        <f t="shared" si="27"/>
        <v>31</v>
      </c>
      <c r="AQ5">
        <f t="shared" ca="1" si="28"/>
        <v>0.47077415184204885</v>
      </c>
      <c r="AR5">
        <f t="shared" ca="1" si="29"/>
        <v>76</v>
      </c>
    </row>
    <row r="6" spans="1:44" x14ac:dyDescent="0.35">
      <c r="A6" s="3" t="s">
        <v>21</v>
      </c>
      <c r="B6" s="3" t="s">
        <v>22</v>
      </c>
      <c r="C6" s="3" t="s">
        <v>15</v>
      </c>
      <c r="D6" s="3">
        <v>30000</v>
      </c>
      <c r="E6" s="3">
        <v>70000</v>
      </c>
      <c r="F6" s="4">
        <v>46023</v>
      </c>
      <c r="G6" s="4">
        <v>46053</v>
      </c>
      <c r="H6" s="3">
        <v>26</v>
      </c>
      <c r="I6" s="3">
        <v>23</v>
      </c>
      <c r="J6" s="3">
        <v>4</v>
      </c>
      <c r="K6">
        <f t="shared" si="1"/>
        <v>100000</v>
      </c>
      <c r="L6">
        <f>E6*VLOOKUP(C6,'SHEET 2  Department_Table'!$A$1:$C$5,3,FALSE)</f>
        <v>5600</v>
      </c>
      <c r="M6">
        <f t="shared" si="2"/>
        <v>35600</v>
      </c>
      <c r="N6">
        <f t="shared" si="3"/>
        <v>105600</v>
      </c>
      <c r="O6">
        <f t="shared" si="4"/>
        <v>3</v>
      </c>
      <c r="P6" s="8">
        <f t="shared" si="5"/>
        <v>88.461538461538453</v>
      </c>
      <c r="Q6">
        <f t="shared" si="0"/>
        <v>22</v>
      </c>
      <c r="R6">
        <f t="shared" si="6"/>
        <v>4</v>
      </c>
      <c r="S6" t="str">
        <f t="shared" si="7"/>
        <v>Excellent</v>
      </c>
      <c r="T6" t="b">
        <f t="shared" si="8"/>
        <v>0</v>
      </c>
      <c r="U6" t="b">
        <f t="shared" si="9"/>
        <v>0</v>
      </c>
      <c r="V6" t="str">
        <f>VLOOKUP(C6,'SHEET 2  Department_Table'!$A$1:$C$5,2,FALSE)</f>
        <v>Marketing</v>
      </c>
      <c r="W6" t="str">
        <f>_xlfn.XLOOKUP(C6,'SHEET 2  Department_Table'!$A$1:$A$5,'SHEET 2  Department_Table'!$B$1:$B$5,,0)</f>
        <v>Marketing</v>
      </c>
      <c r="X6">
        <f>100*HLOOKUP(C6,'SHEET 3  Horizontal_Bonus_Table'!$A$1:$E$2,2,FALSE)</f>
        <v>8</v>
      </c>
      <c r="Y6" t="str">
        <f t="shared" si="10"/>
        <v>VIKRAM PATEL</v>
      </c>
      <c r="Z6" t="str">
        <f t="shared" si="11"/>
        <v>vikram patel</v>
      </c>
      <c r="AA6" t="str">
        <f t="shared" si="12"/>
        <v>Vikram Patel</v>
      </c>
      <c r="AB6" t="str">
        <f t="shared" si="13"/>
        <v>Vik</v>
      </c>
      <c r="AC6" t="str">
        <f t="shared" si="14"/>
        <v>ram</v>
      </c>
      <c r="AD6" t="str">
        <f t="shared" si="15"/>
        <v>el</v>
      </c>
      <c r="AE6" t="str">
        <f t="shared" si="16"/>
        <v>Vikr@m P@tel</v>
      </c>
      <c r="AF6" t="str">
        <f t="shared" si="17"/>
        <v>Vikram Patel</v>
      </c>
      <c r="AG6" t="str">
        <f t="shared" si="18"/>
        <v>E105 Vikram Patel</v>
      </c>
      <c r="AH6" t="str">
        <f t="shared" si="19"/>
        <v>E105 Vikram Patel</v>
      </c>
      <c r="AI6" t="str">
        <f t="shared" si="20"/>
        <v>E105~Vikram Patel~D02~30000~70000~46023~46053~26~23~4~100000~5600~35600~105600~3~88.4615384615385~22~4~Excellent~FALSE~FALSE~Marketing~Marketing~8~VIKRAM PATEL~vikram patel~Vikram Patel~Vik~ram~el~Vikr@m P@tel~Vikram Patel~E105 Vikram Patel~E105 Vikram Patel</v>
      </c>
      <c r="AJ6">
        <f t="shared" si="21"/>
        <v>12</v>
      </c>
      <c r="AK6" s="1">
        <f t="shared" ca="1" si="22"/>
        <v>46077</v>
      </c>
      <c r="AL6" s="9">
        <f t="shared" ca="1" si="23"/>
        <v>46077.813459143516</v>
      </c>
      <c r="AM6">
        <f t="shared" si="24"/>
        <v>1</v>
      </c>
      <c r="AN6">
        <f t="shared" si="25"/>
        <v>1</v>
      </c>
      <c r="AO6">
        <f t="shared" si="26"/>
        <v>2026</v>
      </c>
      <c r="AP6" s="8">
        <f t="shared" si="27"/>
        <v>31</v>
      </c>
      <c r="AQ6">
        <f t="shared" ca="1" si="28"/>
        <v>0.85343551580298793</v>
      </c>
      <c r="AR6">
        <f t="shared" ca="1" si="29"/>
        <v>90</v>
      </c>
    </row>
    <row r="7" spans="1:44" x14ac:dyDescent="0.35">
      <c r="A7" s="3" t="s">
        <v>23</v>
      </c>
      <c r="B7" s="3" t="s">
        <v>24</v>
      </c>
      <c r="C7" s="3" t="s">
        <v>25</v>
      </c>
      <c r="D7" s="3">
        <v>28000</v>
      </c>
      <c r="E7" s="3">
        <v>30000</v>
      </c>
      <c r="F7" s="4">
        <v>46023</v>
      </c>
      <c r="G7" s="4">
        <v>46053</v>
      </c>
      <c r="H7" s="3">
        <v>26</v>
      </c>
      <c r="I7" s="3">
        <v>21</v>
      </c>
      <c r="J7" s="3">
        <v>2</v>
      </c>
      <c r="K7">
        <f t="shared" si="1"/>
        <v>58000</v>
      </c>
      <c r="L7">
        <f>E7*VLOOKUP(C7,'SHEET 2  Department_Table'!$A$1:$C$5,3,FALSE)</f>
        <v>2100</v>
      </c>
      <c r="M7">
        <f t="shared" si="2"/>
        <v>30100</v>
      </c>
      <c r="N7">
        <f t="shared" si="3"/>
        <v>60100</v>
      </c>
      <c r="O7">
        <f t="shared" si="4"/>
        <v>5</v>
      </c>
      <c r="P7" s="8">
        <f t="shared" si="5"/>
        <v>80.769230769230774</v>
      </c>
      <c r="Q7">
        <f t="shared" si="0"/>
        <v>22</v>
      </c>
      <c r="R7">
        <f t="shared" si="6"/>
        <v>10</v>
      </c>
      <c r="S7" t="str">
        <f t="shared" si="7"/>
        <v>Average</v>
      </c>
      <c r="T7" t="b">
        <f t="shared" si="8"/>
        <v>0</v>
      </c>
      <c r="U7" t="b">
        <f t="shared" si="9"/>
        <v>0</v>
      </c>
      <c r="V7" t="str">
        <f>VLOOKUP(C7,'SHEET 2  Department_Table'!$A$1:$C$5,2,FALSE)</f>
        <v>IT</v>
      </c>
      <c r="W7" t="str">
        <f>_xlfn.XLOOKUP(C7,'SHEET 2  Department_Table'!$A$1:$A$5,'SHEET 2  Department_Table'!$B$1:$B$5,,0)</f>
        <v>IT</v>
      </c>
      <c r="X7">
        <f>100*HLOOKUP(C7,'SHEET 3  Horizontal_Bonus_Table'!$A$1:$E$2,2,FALSE)</f>
        <v>7.0000000000000009</v>
      </c>
      <c r="Y7" t="str">
        <f t="shared" si="10"/>
        <v>ANJALI MEHTA</v>
      </c>
      <c r="Z7" t="str">
        <f t="shared" si="11"/>
        <v>anjali mehta</v>
      </c>
      <c r="AA7" t="str">
        <f t="shared" si="12"/>
        <v>Anjali Mehta</v>
      </c>
      <c r="AB7" t="str">
        <f t="shared" si="13"/>
        <v>Anj</v>
      </c>
      <c r="AC7" t="str">
        <f t="shared" si="14"/>
        <v>ali</v>
      </c>
      <c r="AD7" t="str">
        <f t="shared" si="15"/>
        <v>ta</v>
      </c>
      <c r="AE7" t="str">
        <f t="shared" si="16"/>
        <v>Anj@li Meht@</v>
      </c>
      <c r="AF7" t="str">
        <f t="shared" si="17"/>
        <v>Anjali Mehta</v>
      </c>
      <c r="AG7" t="str">
        <f t="shared" si="18"/>
        <v>E106 Anjali Mehta</v>
      </c>
      <c r="AH7" t="str">
        <f t="shared" si="19"/>
        <v>E106 Anjali Mehta</v>
      </c>
      <c r="AI7" t="str">
        <f t="shared" si="20"/>
        <v>E106~Anjali Mehta~D04~28000~30000~46023~46053~26~21~2~58000~2100~30100~60100~5~80.7692307692308~22~10~Average~FALSE~FALSE~IT~IT~7~ANJALI MEHTA~anjali mehta~Anjali Mehta~Anj~ali~ta~Anj@li Meht@~Anjali Mehta~E106 Anjali Mehta~E106 Anjali Mehta</v>
      </c>
      <c r="AJ7">
        <f t="shared" si="21"/>
        <v>12</v>
      </c>
      <c r="AK7" s="1">
        <f t="shared" ca="1" si="22"/>
        <v>46077</v>
      </c>
      <c r="AL7" s="9">
        <f t="shared" ca="1" si="23"/>
        <v>46077.813459143516</v>
      </c>
      <c r="AM7">
        <f t="shared" si="24"/>
        <v>1</v>
      </c>
      <c r="AN7">
        <f t="shared" si="25"/>
        <v>1</v>
      </c>
      <c r="AO7">
        <f t="shared" si="26"/>
        <v>2026</v>
      </c>
      <c r="AP7" s="8">
        <f t="shared" si="27"/>
        <v>31</v>
      </c>
      <c r="AQ7">
        <f t="shared" ca="1" si="28"/>
        <v>8.126125556325059E-2</v>
      </c>
      <c r="AR7">
        <f t="shared" ca="1" si="29"/>
        <v>97</v>
      </c>
    </row>
    <row r="8" spans="1:44" x14ac:dyDescent="0.35">
      <c r="A8" s="3" t="s">
        <v>26</v>
      </c>
      <c r="B8" s="3" t="s">
        <v>27</v>
      </c>
      <c r="C8" s="3" t="s">
        <v>12</v>
      </c>
      <c r="D8" s="3">
        <v>26000</v>
      </c>
      <c r="E8" s="3">
        <v>88000</v>
      </c>
      <c r="F8" s="4">
        <v>46023</v>
      </c>
      <c r="G8" s="4">
        <v>46053</v>
      </c>
      <c r="H8" s="3">
        <v>26</v>
      </c>
      <c r="I8" s="3">
        <v>24</v>
      </c>
      <c r="J8" s="3">
        <v>5</v>
      </c>
      <c r="K8">
        <f t="shared" si="1"/>
        <v>114000</v>
      </c>
      <c r="L8">
        <f>E8*VLOOKUP(C8,'SHEET 2  Department_Table'!$A$1:$C$5,3,FALSE)</f>
        <v>8800</v>
      </c>
      <c r="M8">
        <f t="shared" si="2"/>
        <v>34800</v>
      </c>
      <c r="N8">
        <f t="shared" si="3"/>
        <v>122800</v>
      </c>
      <c r="O8">
        <f t="shared" si="4"/>
        <v>2</v>
      </c>
      <c r="P8" s="8">
        <f t="shared" si="5"/>
        <v>92.307692307692307</v>
      </c>
      <c r="Q8">
        <f t="shared" si="0"/>
        <v>22</v>
      </c>
      <c r="R8">
        <f t="shared" si="6"/>
        <v>2</v>
      </c>
      <c r="S8" t="str">
        <f t="shared" si="7"/>
        <v>Excellent</v>
      </c>
      <c r="T8" t="str">
        <f t="shared" si="8"/>
        <v>Star Performer</v>
      </c>
      <c r="U8" t="str">
        <f t="shared" si="9"/>
        <v>Top Talent</v>
      </c>
      <c r="V8" t="str">
        <f>VLOOKUP(C8,'SHEET 2  Department_Table'!$A$1:$C$5,2,FALSE)</f>
        <v>Sales</v>
      </c>
      <c r="W8" t="str">
        <f>_xlfn.XLOOKUP(C8,'SHEET 2  Department_Table'!$A$1:$A$5,'SHEET 2  Department_Table'!$B$1:$B$5,,0)</f>
        <v>Sales</v>
      </c>
      <c r="X8">
        <f>100*HLOOKUP(C8,'SHEET 3  Horizontal_Bonus_Table'!$A$1:$E$2,2,FALSE)</f>
        <v>10</v>
      </c>
      <c r="Y8" t="str">
        <f t="shared" si="10"/>
        <v>SURESH KUMAR</v>
      </c>
      <c r="Z8" t="str">
        <f t="shared" si="11"/>
        <v>suresh kumar</v>
      </c>
      <c r="AA8" t="str">
        <f t="shared" si="12"/>
        <v>Suresh Kumar</v>
      </c>
      <c r="AB8" t="str">
        <f t="shared" si="13"/>
        <v>Sur</v>
      </c>
      <c r="AC8" t="str">
        <f t="shared" si="14"/>
        <v>esh</v>
      </c>
      <c r="AD8" t="str">
        <f t="shared" si="15"/>
        <v>ar</v>
      </c>
      <c r="AE8" t="str">
        <f t="shared" si="16"/>
        <v>Suresh Kum@r</v>
      </c>
      <c r="AF8" t="str">
        <f t="shared" si="17"/>
        <v>Suresh Kumar</v>
      </c>
      <c r="AG8" t="str">
        <f t="shared" si="18"/>
        <v>E107 Suresh Kumar</v>
      </c>
      <c r="AH8" t="str">
        <f t="shared" si="19"/>
        <v>E107 Suresh Kumar</v>
      </c>
      <c r="AI8" t="str">
        <f t="shared" si="20"/>
        <v>E107~Suresh Kumar~D01~26000~88000~46023~46053~26~24~5~114000~8800~34800~122800~2~92.3076923076923~22~2~Excellent~Star Performer~Top Talent~Sales~Sales~10~SURESH KUMAR~suresh kumar~Suresh Kumar~Sur~esh~ar~Suresh Kum@r~Suresh Kumar~E107 Suresh Kumar~E107 Suresh Kumar</v>
      </c>
      <c r="AJ8">
        <f t="shared" si="21"/>
        <v>12</v>
      </c>
      <c r="AK8" s="1">
        <f t="shared" ca="1" si="22"/>
        <v>46077</v>
      </c>
      <c r="AL8" s="9">
        <f t="shared" ca="1" si="23"/>
        <v>46077.813459143516</v>
      </c>
      <c r="AM8">
        <f t="shared" si="24"/>
        <v>1</v>
      </c>
      <c r="AN8">
        <f t="shared" si="25"/>
        <v>1</v>
      </c>
      <c r="AO8">
        <f t="shared" si="26"/>
        <v>2026</v>
      </c>
      <c r="AP8" s="8">
        <f t="shared" si="27"/>
        <v>31</v>
      </c>
      <c r="AQ8">
        <f t="shared" ca="1" si="28"/>
        <v>0.1832300606754278</v>
      </c>
      <c r="AR8">
        <f t="shared" ca="1" si="29"/>
        <v>28</v>
      </c>
    </row>
    <row r="9" spans="1:44" x14ac:dyDescent="0.35">
      <c r="A9" s="3" t="s">
        <v>28</v>
      </c>
      <c r="B9" s="3" t="s">
        <v>29</v>
      </c>
      <c r="C9" s="3" t="s">
        <v>20</v>
      </c>
      <c r="D9" s="3">
        <v>21000</v>
      </c>
      <c r="E9" s="3">
        <v>45000</v>
      </c>
      <c r="F9" s="4">
        <v>46023</v>
      </c>
      <c r="G9" s="4">
        <v>46053</v>
      </c>
      <c r="H9" s="3">
        <v>26</v>
      </c>
      <c r="I9" s="3">
        <v>22</v>
      </c>
      <c r="J9" s="3">
        <v>3</v>
      </c>
      <c r="K9">
        <f t="shared" si="1"/>
        <v>66000</v>
      </c>
      <c r="L9">
        <f>E9*VLOOKUP(C9,'SHEET 2  Department_Table'!$A$1:$C$5,3,FALSE)</f>
        <v>2250</v>
      </c>
      <c r="M9">
        <f t="shared" si="2"/>
        <v>23250</v>
      </c>
      <c r="N9">
        <f t="shared" si="3"/>
        <v>68250</v>
      </c>
      <c r="O9">
        <f t="shared" si="4"/>
        <v>4</v>
      </c>
      <c r="P9" s="8">
        <f t="shared" si="5"/>
        <v>84.615384615384613</v>
      </c>
      <c r="Q9">
        <f t="shared" si="0"/>
        <v>22</v>
      </c>
      <c r="R9">
        <f t="shared" si="6"/>
        <v>7</v>
      </c>
      <c r="S9" t="str">
        <f t="shared" si="7"/>
        <v>Average</v>
      </c>
      <c r="T9" t="b">
        <f t="shared" si="8"/>
        <v>0</v>
      </c>
      <c r="U9" t="b">
        <f t="shared" si="9"/>
        <v>0</v>
      </c>
      <c r="V9" t="str">
        <f>VLOOKUP(C9,'SHEET 2  Department_Table'!$A$1:$C$5,2,FALSE)</f>
        <v>HR</v>
      </c>
      <c r="W9" t="str">
        <f>_xlfn.XLOOKUP(C9,'SHEET 2  Department_Table'!$A$1:$A$5,'SHEET 2  Department_Table'!$B$1:$B$5,,0)</f>
        <v>HR</v>
      </c>
      <c r="X9">
        <f>100*HLOOKUP(C9,'SHEET 3  Horizontal_Bonus_Table'!$A$1:$E$2,2,FALSE)</f>
        <v>5</v>
      </c>
      <c r="Y9" t="str">
        <f t="shared" si="10"/>
        <v>KAVITA JOSHI</v>
      </c>
      <c r="Z9" t="str">
        <f t="shared" si="11"/>
        <v>kavita joshi</v>
      </c>
      <c r="AA9" t="str">
        <f t="shared" si="12"/>
        <v>Kavita Joshi</v>
      </c>
      <c r="AB9" t="str">
        <f t="shared" si="13"/>
        <v>Kav</v>
      </c>
      <c r="AC9" t="str">
        <f t="shared" si="14"/>
        <v>ita</v>
      </c>
      <c r="AD9" t="str">
        <f t="shared" si="15"/>
        <v>hi</v>
      </c>
      <c r="AE9" t="str">
        <f t="shared" si="16"/>
        <v>K@vit@ Joshi</v>
      </c>
      <c r="AF9" t="str">
        <f t="shared" si="17"/>
        <v>Kavita Joshi</v>
      </c>
      <c r="AG9" t="str">
        <f t="shared" si="18"/>
        <v>E108 Kavita Joshi</v>
      </c>
      <c r="AH9" t="str">
        <f t="shared" si="19"/>
        <v>E108 Kavita Joshi</v>
      </c>
      <c r="AI9" t="str">
        <f t="shared" si="20"/>
        <v>E108~Kavita Joshi~D03~21000~45000~46023~46053~26~22~3~66000~2250~23250~68250~4~84.6153846153846~22~7~Average~FALSE~FALSE~HR~HR~5~KAVITA JOSHI~kavita joshi~Kavita Joshi~Kav~ita~hi~K@vit@ Joshi~Kavita Joshi~E108 Kavita Joshi~E108 Kavita Joshi</v>
      </c>
      <c r="AJ9">
        <f t="shared" si="21"/>
        <v>12</v>
      </c>
      <c r="AK9" s="1">
        <f t="shared" ca="1" si="22"/>
        <v>46077</v>
      </c>
      <c r="AL9" s="9">
        <f t="shared" ca="1" si="23"/>
        <v>46077.813459143516</v>
      </c>
      <c r="AM9">
        <f t="shared" si="24"/>
        <v>1</v>
      </c>
      <c r="AN9">
        <f t="shared" si="25"/>
        <v>1</v>
      </c>
      <c r="AO9">
        <f t="shared" si="26"/>
        <v>2026</v>
      </c>
      <c r="AP9" s="8">
        <f t="shared" si="27"/>
        <v>31</v>
      </c>
      <c r="AQ9">
        <f t="shared" ca="1" si="28"/>
        <v>0.59790158579720609</v>
      </c>
      <c r="AR9">
        <f t="shared" ca="1" si="29"/>
        <v>48</v>
      </c>
    </row>
    <row r="10" spans="1:44" x14ac:dyDescent="0.35">
      <c r="A10" s="3" t="s">
        <v>30</v>
      </c>
      <c r="B10" s="3" t="s">
        <v>31</v>
      </c>
      <c r="C10" s="3" t="s">
        <v>15</v>
      </c>
      <c r="D10" s="3">
        <v>24000</v>
      </c>
      <c r="E10" s="3">
        <v>52000</v>
      </c>
      <c r="F10" s="4">
        <v>46023</v>
      </c>
      <c r="G10" s="4">
        <v>46053</v>
      </c>
      <c r="H10" s="3">
        <v>26</v>
      </c>
      <c r="I10" s="3">
        <v>19</v>
      </c>
      <c r="J10" s="3">
        <v>2</v>
      </c>
      <c r="K10">
        <f t="shared" si="1"/>
        <v>76000</v>
      </c>
      <c r="L10">
        <f>E10*VLOOKUP(C10,'SHEET 2  Department_Table'!$A$1:$C$5,3,FALSE)</f>
        <v>4160</v>
      </c>
      <c r="M10">
        <f t="shared" si="2"/>
        <v>28160</v>
      </c>
      <c r="N10">
        <f t="shared" si="3"/>
        <v>80160</v>
      </c>
      <c r="O10">
        <f t="shared" si="4"/>
        <v>7</v>
      </c>
      <c r="P10" s="8">
        <f t="shared" si="5"/>
        <v>73.076923076923066</v>
      </c>
      <c r="Q10">
        <f t="shared" si="0"/>
        <v>22</v>
      </c>
      <c r="R10">
        <f t="shared" si="6"/>
        <v>6</v>
      </c>
      <c r="S10" t="str">
        <f t="shared" si="7"/>
        <v>Average</v>
      </c>
      <c r="T10" t="b">
        <f t="shared" si="8"/>
        <v>0</v>
      </c>
      <c r="U10" t="b">
        <f t="shared" si="9"/>
        <v>0</v>
      </c>
      <c r="V10" t="str">
        <f>VLOOKUP(C10,'SHEET 2  Department_Table'!$A$1:$C$5,2,FALSE)</f>
        <v>Marketing</v>
      </c>
      <c r="W10" t="str">
        <f>_xlfn.XLOOKUP(C10,'SHEET 2  Department_Table'!$A$1:$A$5,'SHEET 2  Department_Table'!$B$1:$B$5,,0)</f>
        <v>Marketing</v>
      </c>
      <c r="X10">
        <f>100*HLOOKUP(C10,'SHEET 3  Horizontal_Bonus_Table'!$A$1:$E$2,2,FALSE)</f>
        <v>8</v>
      </c>
      <c r="Y10" t="str">
        <f t="shared" si="10"/>
        <v>MOHIT AGARWAL</v>
      </c>
      <c r="Z10" t="str">
        <f t="shared" si="11"/>
        <v>mohit agarwal</v>
      </c>
      <c r="AA10" t="str">
        <f t="shared" si="12"/>
        <v>Mohit Agarwal</v>
      </c>
      <c r="AB10" t="str">
        <f t="shared" si="13"/>
        <v>Moh</v>
      </c>
      <c r="AC10" t="str">
        <f t="shared" si="14"/>
        <v xml:space="preserve">it </v>
      </c>
      <c r="AD10" t="str">
        <f t="shared" si="15"/>
        <v>al</v>
      </c>
      <c r="AE10" t="str">
        <f t="shared" si="16"/>
        <v>Mohit Ag@rw@l</v>
      </c>
      <c r="AF10" t="str">
        <f t="shared" si="17"/>
        <v>Mohit Agarwal</v>
      </c>
      <c r="AG10" t="str">
        <f t="shared" si="18"/>
        <v>E109 Mohit Agarwal</v>
      </c>
      <c r="AH10" t="str">
        <f t="shared" si="19"/>
        <v>E109 Mohit Agarwal</v>
      </c>
      <c r="AI10" t="str">
        <f t="shared" si="20"/>
        <v>E109~Mohit Agarwal~D02~24000~52000~46023~46053~26~19~2~76000~4160~28160~80160~7~73.0769230769231~22~6~Average~FALSE~FALSE~Marketing~Marketing~8~MOHIT AGARWAL~mohit agarwal~Mohit Agarwal~Moh~it ~al~Mohit Ag@rw@l~Mohit Agarwal~E109 Mohit Agarwal~E109 Mohit Agarwal</v>
      </c>
      <c r="AJ10">
        <f t="shared" si="21"/>
        <v>13</v>
      </c>
      <c r="AK10" s="1">
        <f t="shared" ca="1" si="22"/>
        <v>46077</v>
      </c>
      <c r="AL10" s="9">
        <f t="shared" ca="1" si="23"/>
        <v>46077.813459143516</v>
      </c>
      <c r="AM10">
        <f t="shared" si="24"/>
        <v>1</v>
      </c>
      <c r="AN10">
        <f t="shared" si="25"/>
        <v>1</v>
      </c>
      <c r="AO10">
        <f t="shared" si="26"/>
        <v>2026</v>
      </c>
      <c r="AP10" s="8">
        <f t="shared" si="27"/>
        <v>31</v>
      </c>
      <c r="AQ10">
        <f t="shared" ca="1" si="28"/>
        <v>0.2739555867795711</v>
      </c>
      <c r="AR10">
        <f t="shared" ca="1" si="29"/>
        <v>28</v>
      </c>
    </row>
    <row r="11" spans="1:44" x14ac:dyDescent="0.35">
      <c r="A11" s="3" t="s">
        <v>32</v>
      </c>
      <c r="B11" s="3" t="s">
        <v>33</v>
      </c>
      <c r="C11" s="3" t="s">
        <v>25</v>
      </c>
      <c r="D11" s="3">
        <v>23000</v>
      </c>
      <c r="E11" s="3">
        <v>35000</v>
      </c>
      <c r="F11" s="4">
        <v>46023</v>
      </c>
      <c r="G11" s="4">
        <v>46053</v>
      </c>
      <c r="H11" s="3">
        <v>26</v>
      </c>
      <c r="I11" s="3">
        <v>23</v>
      </c>
      <c r="J11" s="3">
        <v>4</v>
      </c>
      <c r="K11">
        <f t="shared" si="1"/>
        <v>58000</v>
      </c>
      <c r="L11">
        <f>E11*VLOOKUP(C11,'SHEET 2  Department_Table'!$A$1:$C$5,3,FALSE)</f>
        <v>2450.0000000000005</v>
      </c>
      <c r="M11">
        <f t="shared" si="2"/>
        <v>25450</v>
      </c>
      <c r="N11">
        <f t="shared" si="3"/>
        <v>60450</v>
      </c>
      <c r="O11">
        <f t="shared" si="4"/>
        <v>3</v>
      </c>
      <c r="P11" s="8">
        <f t="shared" si="5"/>
        <v>88.461538461538453</v>
      </c>
      <c r="Q11">
        <f t="shared" si="0"/>
        <v>22</v>
      </c>
      <c r="R11">
        <f t="shared" si="6"/>
        <v>9</v>
      </c>
      <c r="S11" t="str">
        <f>IF(J11&gt;=4,"Excellent","Average")</f>
        <v>Excellent</v>
      </c>
      <c r="T11" t="b">
        <f t="shared" si="8"/>
        <v>0</v>
      </c>
      <c r="U11" t="b">
        <f t="shared" si="9"/>
        <v>0</v>
      </c>
      <c r="V11" t="str">
        <f>VLOOKUP(C11,'SHEET 2  Department_Table'!$A$1:$C$5,2,FALSE)</f>
        <v>IT</v>
      </c>
      <c r="W11" t="str">
        <f>_xlfn.XLOOKUP(C11,'SHEET 2  Department_Table'!$A$1:$A$5,'SHEET 2  Department_Table'!$B$1:$B$5,,0)</f>
        <v>IT</v>
      </c>
      <c r="X11">
        <f>100*HLOOKUP(C11,'SHEET 3  Horizontal_Bonus_Table'!$A$1:$E$2,2,FALSE)</f>
        <v>7.0000000000000009</v>
      </c>
      <c r="Y11" t="str">
        <f t="shared" si="10"/>
        <v>POOJA REDDY</v>
      </c>
      <c r="Z11" t="str">
        <f t="shared" si="11"/>
        <v>pooja reddy</v>
      </c>
      <c r="AA11" t="str">
        <f t="shared" si="12"/>
        <v>Pooja Reddy</v>
      </c>
      <c r="AB11" t="str">
        <f t="shared" si="13"/>
        <v>Poo</v>
      </c>
      <c r="AC11" t="str">
        <f t="shared" si="14"/>
        <v xml:space="preserve">ja </v>
      </c>
      <c r="AD11" t="str">
        <f t="shared" si="15"/>
        <v>dy</v>
      </c>
      <c r="AE11" t="str">
        <f t="shared" si="16"/>
        <v>Pooj@ Reddy</v>
      </c>
      <c r="AF11" t="str">
        <f t="shared" si="17"/>
        <v>Pooja Reddy</v>
      </c>
      <c r="AG11" t="str">
        <f t="shared" si="18"/>
        <v>E110 Pooja Reddy</v>
      </c>
      <c r="AH11" t="str">
        <f t="shared" si="19"/>
        <v>E110 Pooja Reddy</v>
      </c>
      <c r="AI11" t="str">
        <f t="shared" si="20"/>
        <v>E110~Pooja Reddy~D04~23000~35000~46023~46053~26~23~4~58000~2450~25450~60450~3~88.4615384615385~22~9~Excellent~FALSE~FALSE~IT~IT~7~POOJA REDDY~pooja reddy~Pooja Reddy~Poo~ja ~dy~Pooj@ Reddy~Pooja Reddy~E110 Pooja Reddy~E110 Pooja Reddy</v>
      </c>
      <c r="AJ11">
        <f t="shared" si="21"/>
        <v>11</v>
      </c>
      <c r="AK11" s="1">
        <f t="shared" ca="1" si="22"/>
        <v>46077</v>
      </c>
      <c r="AL11" s="9">
        <f t="shared" ca="1" si="23"/>
        <v>46077.813459143516</v>
      </c>
      <c r="AM11">
        <f t="shared" si="24"/>
        <v>1</v>
      </c>
      <c r="AN11">
        <f t="shared" si="25"/>
        <v>1</v>
      </c>
      <c r="AO11">
        <f t="shared" si="26"/>
        <v>2026</v>
      </c>
      <c r="AP11" s="8">
        <f t="shared" si="27"/>
        <v>31</v>
      </c>
      <c r="AQ11">
        <f t="shared" ca="1" si="28"/>
        <v>0.64943219920099304</v>
      </c>
      <c r="AR11">
        <f t="shared" ca="1" si="29"/>
        <v>50</v>
      </c>
    </row>
    <row r="14" spans="1:44" x14ac:dyDescent="0.35">
      <c r="A14" s="7" t="s">
        <v>44</v>
      </c>
      <c r="B14">
        <f>AVERAGE(N2:N11)</f>
        <v>89066</v>
      </c>
    </row>
    <row r="15" spans="1:44" x14ac:dyDescent="0.35">
      <c r="A15" s="6" t="s">
        <v>48</v>
      </c>
      <c r="B15">
        <f>COUNTIF(I2:I11,"&gt;22")</f>
        <v>5</v>
      </c>
    </row>
    <row r="16" spans="1:44" x14ac:dyDescent="0.35">
      <c r="A16" s="6" t="s">
        <v>50</v>
      </c>
      <c r="B16">
        <f>MAX(E2:E11)</f>
        <v>95000</v>
      </c>
    </row>
    <row r="17" spans="1:2" x14ac:dyDescent="0.35">
      <c r="A17" s="6" t="s">
        <v>51</v>
      </c>
      <c r="B17">
        <f>MIN(E2:E11)</f>
        <v>30000</v>
      </c>
    </row>
    <row r="18" spans="1:2" x14ac:dyDescent="0.35">
      <c r="A18" s="6" t="s">
        <v>52</v>
      </c>
      <c r="B18">
        <f>AVERAGE(E2:E11)</f>
        <v>59500</v>
      </c>
    </row>
    <row r="19" spans="1:2" x14ac:dyDescent="0.35">
      <c r="A19" s="6" t="s">
        <v>56</v>
      </c>
      <c r="B19">
        <f>SUMIF(C2:C11,C2,E2:E11)</f>
        <v>263000</v>
      </c>
    </row>
    <row r="20" spans="1:2" x14ac:dyDescent="0.35">
      <c r="A20" s="6" t="s">
        <v>57</v>
      </c>
      <c r="B20">
        <f>COUNTIF(C2:C11,C2)</f>
        <v>3</v>
      </c>
    </row>
    <row r="21" spans="1:2" x14ac:dyDescent="0.35">
      <c r="A21" s="6" t="s">
        <v>58</v>
      </c>
      <c r="B21">
        <f>SUMPRODUCT(E2:E11,J2:J11)</f>
        <v>2394000</v>
      </c>
    </row>
    <row r="22" spans="1:2" x14ac:dyDescent="0.35">
      <c r="A22" s="6" t="s">
        <v>61</v>
      </c>
      <c r="B22" t="str">
        <f>INDEX(A1:J11,6,2)</f>
        <v>Vikram Patel</v>
      </c>
    </row>
    <row r="23" spans="1:2" x14ac:dyDescent="0.35">
      <c r="A23" s="6" t="s">
        <v>62</v>
      </c>
      <c r="B23">
        <f>MATCH(B4,B1:B11,0)</f>
        <v>4</v>
      </c>
    </row>
    <row r="24" spans="1:2" x14ac:dyDescent="0.35">
      <c r="A24" s="6" t="s">
        <v>63</v>
      </c>
      <c r="B24">
        <f>INDEX(A1:J11,MATCH(A5,A1:A11,0),MATCH(E1,A1:J1,0))</f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E61F-ADFB-4A71-9F35-7D899382B9B9}">
  <dimension ref="A1:C5"/>
  <sheetViews>
    <sheetView workbookViewId="0">
      <selection activeCell="E5" sqref="E5"/>
    </sheetView>
  </sheetViews>
  <sheetFormatPr defaultRowHeight="14.5" x14ac:dyDescent="0.35"/>
  <cols>
    <col min="1" max="1" width="9.54296875" bestFit="1" customWidth="1"/>
    <col min="2" max="2" width="16.1796875" bestFit="1" customWidth="1"/>
    <col min="3" max="3" width="7.90625" bestFit="1" customWidth="1"/>
  </cols>
  <sheetData>
    <row r="1" spans="1:3" x14ac:dyDescent="0.35">
      <c r="A1" s="2" t="s">
        <v>2</v>
      </c>
      <c r="B1" s="2" t="s">
        <v>34</v>
      </c>
      <c r="C1" s="2" t="s">
        <v>35</v>
      </c>
    </row>
    <row r="2" spans="1:3" x14ac:dyDescent="0.35">
      <c r="A2" s="3" t="s">
        <v>12</v>
      </c>
      <c r="B2" s="3" t="s">
        <v>4</v>
      </c>
      <c r="C2" s="5">
        <v>0.1</v>
      </c>
    </row>
    <row r="3" spans="1:3" x14ac:dyDescent="0.35">
      <c r="A3" s="3" t="s">
        <v>15</v>
      </c>
      <c r="B3" s="3" t="s">
        <v>36</v>
      </c>
      <c r="C3" s="5">
        <v>0.08</v>
      </c>
    </row>
    <row r="4" spans="1:3" x14ac:dyDescent="0.35">
      <c r="A4" s="3" t="s">
        <v>20</v>
      </c>
      <c r="B4" s="3" t="s">
        <v>37</v>
      </c>
      <c r="C4" s="5">
        <v>0.05</v>
      </c>
    </row>
    <row r="5" spans="1:3" x14ac:dyDescent="0.35">
      <c r="A5" s="3" t="s">
        <v>25</v>
      </c>
      <c r="B5" s="3" t="s">
        <v>38</v>
      </c>
      <c r="C5" s="5">
        <v>7.0000000000000007E-2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EC6A-3167-4094-AADD-676B4F5274BB}">
  <dimension ref="A1:E2"/>
  <sheetViews>
    <sheetView workbookViewId="0">
      <selection activeCell="B4" sqref="B4"/>
    </sheetView>
  </sheetViews>
  <sheetFormatPr defaultRowHeight="14.5" x14ac:dyDescent="0.35"/>
  <sheetData>
    <row r="1" spans="1:5" x14ac:dyDescent="0.35">
      <c r="A1" s="2"/>
      <c r="B1" s="2" t="s">
        <v>12</v>
      </c>
      <c r="C1" s="2" t="s">
        <v>15</v>
      </c>
      <c r="D1" s="2" t="s">
        <v>20</v>
      </c>
      <c r="E1" s="2" t="s">
        <v>25</v>
      </c>
    </row>
    <row r="2" spans="1:5" x14ac:dyDescent="0.35">
      <c r="A2" s="3" t="s">
        <v>39</v>
      </c>
      <c r="B2" s="5">
        <v>0.1</v>
      </c>
      <c r="C2" s="5">
        <v>0.08</v>
      </c>
      <c r="D2" s="5">
        <v>0.05</v>
      </c>
      <c r="E2" s="5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  Employee_Data</vt:lpstr>
      <vt:lpstr>SHEET 2  Department_Table</vt:lpstr>
      <vt:lpstr>SHEET 3  Horizontal_Bonus_Table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2026-02-24T11:57:03Z</dcterms:created>
  <dcterms:modified xsi:type="dcterms:W3CDTF">2026-02-24T14:02:45Z</dcterms:modified>
</cp:coreProperties>
</file>