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6A9C1960-07B8-4B0A-A540-3E5E303167EA}" xr6:coauthVersionLast="47" xr6:coauthVersionMax="47" xr10:uidLastSave="{00000000-0000-0000-0000-000000000000}"/>
  <bookViews>
    <workbookView xWindow="-110" yWindow="-110" windowWidth="21820" windowHeight="13900" xr2:uid="{27EAEA3C-5ED9-4072-8ECC-1ED8FA1D8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1" l="1"/>
  <c r="G12" i="1"/>
  <c r="J15" i="1"/>
  <c r="I14" i="1"/>
  <c r="H13" i="1"/>
  <c r="G11" i="1"/>
  <c r="J11" i="1"/>
  <c r="I11" i="1"/>
  <c r="H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J9" i="1"/>
  <c r="I9" i="1"/>
  <c r="C9" i="1"/>
  <c r="B9" i="1"/>
  <c r="D9" i="1"/>
  <c r="H9" i="1"/>
  <c r="G9" i="1"/>
  <c r="F9" i="1"/>
  <c r="E9" i="1"/>
</calcChain>
</file>

<file path=xl/sharedStrings.xml><?xml version="1.0" encoding="utf-8"?>
<sst xmlns="http://schemas.openxmlformats.org/spreadsheetml/2006/main" count="42" uniqueCount="38">
  <si>
    <t>Employee ID</t>
  </si>
  <si>
    <t>Name</t>
  </si>
  <si>
    <t>Department</t>
  </si>
  <si>
    <t>Training Completed</t>
  </si>
  <si>
    <t>Score</t>
  </si>
  <si>
    <t>E001</t>
  </si>
  <si>
    <t>John Smith</t>
  </si>
  <si>
    <t>Sales</t>
  </si>
  <si>
    <t>Yes</t>
  </si>
  <si>
    <t>E002</t>
  </si>
  <si>
    <t>Jane Doe</t>
  </si>
  <si>
    <t>Marketing</t>
  </si>
  <si>
    <t>No</t>
  </si>
  <si>
    <t>E003</t>
  </si>
  <si>
    <t>Alice Johnson</t>
  </si>
  <si>
    <t>HR</t>
  </si>
  <si>
    <t>E004</t>
  </si>
  <si>
    <t>Bob Brown</t>
  </si>
  <si>
    <t>IT</t>
  </si>
  <si>
    <t>E005</t>
  </si>
  <si>
    <t>Charlie Davis</t>
  </si>
  <si>
    <t>Task</t>
  </si>
  <si>
    <t>Score of first employee</t>
  </si>
  <si>
    <t>Department of Alice Johnson</t>
  </si>
  <si>
    <t>Score of Bob Brown</t>
  </si>
  <si>
    <t>Total score of Sales department</t>
  </si>
  <si>
    <t>Number of employees completed training</t>
  </si>
  <si>
    <t>Employee ID of Jane Doe</t>
  </si>
  <si>
    <t>Score of employee with 'John'</t>
  </si>
  <si>
    <t>h lookup</t>
  </si>
  <si>
    <t>v lookup</t>
  </si>
  <si>
    <t>index</t>
  </si>
  <si>
    <t>match</t>
  </si>
  <si>
    <t>index match</t>
  </si>
  <si>
    <t>sumif</t>
  </si>
  <si>
    <t>countif</t>
  </si>
  <si>
    <t>xlookup</t>
  </si>
  <si>
    <t>wildcard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</si>
</sst>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4FC2-13BC-4B38-AC88-2E4F5134BA18}">
  <dimension ref="A1:J15"/>
  <sheetViews>
    <sheetView tabSelected="1" workbookViewId="0">
      <selection activeCell="B13" sqref="B13"/>
    </sheetView>
  </sheetViews>
  <sheetFormatPr defaultRowHeight="14.5" x14ac:dyDescent="0.35"/>
  <cols>
    <col min="1" max="1" width="34.26953125" bestFit="1" customWidth="1"/>
    <col min="2" max="2" width="17.1796875" bestFit="1" customWidth="1"/>
    <col min="3" max="3" width="10.81640625" bestFit="1" customWidth="1"/>
    <col min="4" max="4" width="17.36328125" bestFit="1" customWidth="1"/>
    <col min="5" max="5" width="6.1796875" bestFit="1" customWidth="1"/>
    <col min="6" max="6" width="11.1796875" bestFit="1" customWidth="1"/>
    <col min="7" max="7" width="5.6328125" bestFit="1" customWidth="1"/>
    <col min="8" max="8" width="6.81640625" bestFit="1" customWidth="1"/>
    <col min="9" max="9" width="7.81640625" bestFit="1" customWidth="1"/>
    <col min="10" max="10" width="8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35">
      <c r="A2" s="2" t="s">
        <v>5</v>
      </c>
      <c r="B2" s="2" t="s">
        <v>6</v>
      </c>
      <c r="C2" s="2" t="s">
        <v>7</v>
      </c>
      <c r="D2" s="2" t="s">
        <v>8</v>
      </c>
      <c r="E2" s="2">
        <v>85</v>
      </c>
    </row>
    <row r="3" spans="1:10" x14ac:dyDescent="0.35">
      <c r="A3" s="2" t="s">
        <v>9</v>
      </c>
      <c r="B3" s="2" t="s">
        <v>10</v>
      </c>
      <c r="C3" s="2" t="s">
        <v>11</v>
      </c>
      <c r="D3" s="2" t="s">
        <v>12</v>
      </c>
      <c r="E3" s="2">
        <v>0</v>
      </c>
    </row>
    <row r="4" spans="1:10" x14ac:dyDescent="0.35">
      <c r="A4" s="2" t="s">
        <v>13</v>
      </c>
      <c r="B4" s="2" t="s">
        <v>14</v>
      </c>
      <c r="C4" s="2" t="s">
        <v>15</v>
      </c>
      <c r="D4" s="2" t="s">
        <v>8</v>
      </c>
      <c r="E4" s="2">
        <v>90</v>
      </c>
    </row>
    <row r="5" spans="1:10" x14ac:dyDescent="0.35">
      <c r="A5" s="2" t="s">
        <v>16</v>
      </c>
      <c r="B5" s="2" t="s">
        <v>17</v>
      </c>
      <c r="C5" s="2" t="s">
        <v>18</v>
      </c>
      <c r="D5" s="2" t="s">
        <v>8</v>
      </c>
      <c r="E5" s="2">
        <v>75</v>
      </c>
    </row>
    <row r="6" spans="1:10" x14ac:dyDescent="0.35">
      <c r="A6" s="2" t="s">
        <v>19</v>
      </c>
      <c r="B6" s="2" t="s">
        <v>20</v>
      </c>
      <c r="C6" s="2" t="s">
        <v>7</v>
      </c>
      <c r="D6" s="2" t="s">
        <v>12</v>
      </c>
      <c r="E6" s="2">
        <v>0</v>
      </c>
    </row>
    <row r="8" spans="1:10" s="4" customFormat="1" x14ac:dyDescent="0.35">
      <c r="A8" s="1" t="s">
        <v>21</v>
      </c>
      <c r="B8" s="1" t="s">
        <v>29</v>
      </c>
      <c r="C8" s="3" t="s">
        <v>30</v>
      </c>
      <c r="D8" s="3" t="s">
        <v>31</v>
      </c>
      <c r="E8" s="4" t="s">
        <v>32</v>
      </c>
      <c r="F8" s="4" t="s">
        <v>33</v>
      </c>
      <c r="G8" s="4" t="s">
        <v>34</v>
      </c>
      <c r="H8" s="4" t="s">
        <v>35</v>
      </c>
      <c r="I8" s="4" t="s">
        <v>36</v>
      </c>
      <c r="J8" s="4" t="s">
        <v>37</v>
      </c>
    </row>
    <row r="9" spans="1:10" x14ac:dyDescent="0.35">
      <c r="A9" s="2" t="s">
        <v>22</v>
      </c>
      <c r="B9">
        <f>HLOOKUP(E1,A1:E6,2,FALSE)</f>
        <v>85</v>
      </c>
      <c r="C9">
        <f>VLOOKUP(A2,A1:E6,5,FALSE)</f>
        <v>85</v>
      </c>
      <c r="D9">
        <f>INDEX(A1:CE96,2,5)</f>
        <v>85</v>
      </c>
      <c r="E9">
        <f>MATCH(E2,E1:E6,0)</f>
        <v>2</v>
      </c>
      <c r="F9">
        <f>INDEX(A1:E6,MATCH(A2,A1:A6,0),MATCH(E1,A1:E1,0))</f>
        <v>85</v>
      </c>
      <c r="G9">
        <f>SUMIF(C2:C6,C2,E2:E6)</f>
        <v>85</v>
      </c>
      <c r="H9">
        <f>COUNTIF(C2:C6,C2)</f>
        <v>2</v>
      </c>
      <c r="I9">
        <f>_xlfn.XLOOKUP(A2,A2:A6,E2:E6,,0)</f>
        <v>85</v>
      </c>
      <c r="J9">
        <f>_xlfn.XLOOKUP("john*",B2:B6,E2:E6,,2)</f>
        <v>85</v>
      </c>
    </row>
    <row r="10" spans="1:10" x14ac:dyDescent="0.35">
      <c r="A10" s="2" t="s">
        <v>23</v>
      </c>
      <c r="B10" s="2" t="str">
        <f>HLOOKUP(C1,A1:E6,4,FALSE)</f>
        <v>HR</v>
      </c>
      <c r="C10" t="str">
        <f>VLOOKUP(A4,A1:E6,3,FALSE)</f>
        <v>HR</v>
      </c>
      <c r="D10" t="str">
        <f>INDEX(A1:E6,4,3)</f>
        <v>HR</v>
      </c>
      <c r="E10">
        <f>MATCH(C4,C1:C6,0)</f>
        <v>4</v>
      </c>
      <c r="F10" t="str">
        <f>INDEX(A1:E6,MATCH(A4,A1:A6,0),MATCH(C1,A1:E1,0))</f>
        <v>HR</v>
      </c>
      <c r="G10">
        <f>SUMIF(C1:C6,C2,E1:E6)</f>
        <v>85</v>
      </c>
      <c r="H10">
        <f>COUNTIF(C1:C6,C2)</f>
        <v>2</v>
      </c>
      <c r="I10" t="str">
        <f>_xlfn.XLOOKUP(B4,B1:B6,C1:C6,,0)</f>
        <v>HR</v>
      </c>
      <c r="J10" t="str">
        <f>_xlfn.XLOOKUP("alice*",B1:B6,C1:C6,,2)</f>
        <v>HR</v>
      </c>
    </row>
    <row r="11" spans="1:10" x14ac:dyDescent="0.35">
      <c r="A11" s="2" t="s">
        <v>24</v>
      </c>
      <c r="B11" s="2">
        <f>HLOOKUP(E1,A1:E6,5,FALSE)</f>
        <v>75</v>
      </c>
      <c r="C11">
        <f>VLOOKUP(A5,A1:E6,5,FALSE)</f>
        <v>75</v>
      </c>
      <c r="D11">
        <f>INDEX(A1:E6,5,5)</f>
        <v>75</v>
      </c>
      <c r="E11">
        <f>MATCH(E5,E1:E6,0)</f>
        <v>5</v>
      </c>
      <c r="F11">
        <f>INDEX(A1:E6,MATCH(A5,A1:A6,0),MATCH(E1,A1:E1,0))</f>
        <v>75</v>
      </c>
      <c r="G11">
        <f ca="1">SUMIF(A1:E6,C2,C1:C6)</f>
        <v>85</v>
      </c>
      <c r="H11">
        <f>COUNTIF(A1:E6,C2)</f>
        <v>2</v>
      </c>
      <c r="I11">
        <f>_xlfn.XLOOKUP(A5,A1:A6,E1:E6,,0)</f>
        <v>75</v>
      </c>
      <c r="J11">
        <f>_xlfn.XLOOKUP("bob*",B1:B6,E1:E6,,2)</f>
        <v>75</v>
      </c>
    </row>
    <row r="12" spans="1:10" x14ac:dyDescent="0.35">
      <c r="A12" s="2" t="s">
        <v>25</v>
      </c>
      <c r="B12" s="2"/>
      <c r="G12">
        <f ca="1">SUMIF(A1:E6,C2,C1:C6)</f>
        <v>85</v>
      </c>
    </row>
    <row r="13" spans="1:10" x14ac:dyDescent="0.35">
      <c r="A13" s="2" t="s">
        <v>26</v>
      </c>
      <c r="B13" s="2"/>
      <c r="H13">
        <f>COUNTIF(A1:E6,D2)</f>
        <v>3</v>
      </c>
    </row>
    <row r="14" spans="1:10" x14ac:dyDescent="0.35">
      <c r="A14" s="2" t="s">
        <v>27</v>
      </c>
      <c r="B14" s="2"/>
      <c r="I14" t="str">
        <f>_xlfn.XLOOKUP(B3,B1:B6,A1:A6,,0)</f>
        <v>E002</v>
      </c>
    </row>
    <row r="15" spans="1:10" x14ac:dyDescent="0.35">
      <c r="A15" s="2" t="s">
        <v>28</v>
      </c>
      <c r="B15" s="2"/>
      <c r="J15">
        <f>_xlfn.XLOOKUP("john*",B1:B6,E1:E6,,2)</f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2026-02-22T07:54:50Z</dcterms:created>
  <dcterms:modified xsi:type="dcterms:W3CDTF">2026-02-23T13:59:41Z</dcterms:modified>
</cp:coreProperties>
</file>