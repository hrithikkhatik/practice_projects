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13_ncr:1_{94DD90CB-79B0-4D34-BBC5-F5831FAC1593}" xr6:coauthVersionLast="47" xr6:coauthVersionMax="47" xr10:uidLastSave="{00000000-0000-0000-0000-000000000000}"/>
  <bookViews>
    <workbookView xWindow="-110" yWindow="-110" windowWidth="21820" windowHeight="13900" xr2:uid="{394E0742-5DC8-4949-BCBE-228608B94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D49" i="1"/>
  <c r="D48" i="1"/>
  <c r="C50" i="1"/>
  <c r="C49" i="1"/>
  <c r="C48" i="1"/>
  <c r="B50" i="1"/>
  <c r="B49" i="1"/>
  <c r="B48" i="1"/>
  <c r="B45" i="1"/>
  <c r="B42" i="1"/>
  <c r="B41" i="1"/>
  <c r="B37" i="1"/>
  <c r="A34" i="1"/>
  <c r="B31" i="1"/>
  <c r="B30" i="1"/>
  <c r="A27" i="1"/>
  <c r="A24" i="1"/>
  <c r="H15" i="1"/>
  <c r="H16" i="1"/>
  <c r="H14" i="1"/>
  <c r="G15" i="1"/>
  <c r="G16" i="1"/>
  <c r="G14" i="1"/>
  <c r="F15" i="1"/>
  <c r="F16" i="1"/>
  <c r="F14" i="1"/>
  <c r="E15" i="1"/>
  <c r="E16" i="1"/>
  <c r="E14" i="1"/>
  <c r="C19" i="1"/>
  <c r="D19" i="1"/>
  <c r="B19" i="1"/>
  <c r="C18" i="1"/>
  <c r="D18" i="1"/>
  <c r="B18" i="1"/>
  <c r="D11" i="1"/>
  <c r="C8" i="1"/>
  <c r="C5" i="1"/>
  <c r="C2" i="1"/>
</calcChain>
</file>

<file path=xl/sharedStrings.xml><?xml version="1.0" encoding="utf-8"?>
<sst xmlns="http://schemas.openxmlformats.org/spreadsheetml/2006/main" count="37" uniqueCount="36">
  <si>
    <t>constant</t>
  </si>
  <si>
    <t>sum</t>
  </si>
  <si>
    <t>sum with constant</t>
  </si>
  <si>
    <t>PRODUCT Function</t>
  </si>
  <si>
    <t>AVERAGE Function</t>
  </si>
  <si>
    <t>Name</t>
  </si>
  <si>
    <t>Computer</t>
  </si>
  <si>
    <t>Geography</t>
  </si>
  <si>
    <t>English</t>
  </si>
  <si>
    <t>Total</t>
  </si>
  <si>
    <t>Student Marks Analysis</t>
  </si>
  <si>
    <t>hrithik</t>
  </si>
  <si>
    <t>ritik</t>
  </si>
  <si>
    <t>rithik</t>
  </si>
  <si>
    <t xml:space="preserve">min </t>
  </si>
  <si>
    <t>max</t>
  </si>
  <si>
    <t>average</t>
  </si>
  <si>
    <t>rank</t>
  </si>
  <si>
    <t>sum product</t>
  </si>
  <si>
    <t>RAND Function</t>
  </si>
  <si>
    <t>RANDBETWEEN Function</t>
  </si>
  <si>
    <t>TRIM Function</t>
  </si>
  <si>
    <t>h                               k</t>
  </si>
  <si>
    <t xml:space="preserve">                              h        k</t>
  </si>
  <si>
    <t>CONCATENATE Function</t>
  </si>
  <si>
    <t>SUBSTITUTE Function</t>
  </si>
  <si>
    <t>january</t>
  </si>
  <si>
    <t>UPPER and LOWER Functions</t>
  </si>
  <si>
    <t>Hrithik</t>
  </si>
  <si>
    <t>HRithik</t>
  </si>
  <si>
    <t>len</t>
  </si>
  <si>
    <t>shdsfkjsbscbbf</t>
  </si>
  <si>
    <t>id no</t>
  </si>
  <si>
    <t>college code</t>
  </si>
  <si>
    <t>branch code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</si>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</sst>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7554-6F47-4A05-8838-DC40D58C10BE}">
  <dimension ref="A1:H50"/>
  <sheetViews>
    <sheetView tabSelected="1" workbookViewId="0">
      <selection sqref="A1:H50"/>
    </sheetView>
  </sheetViews>
  <sheetFormatPr defaultRowHeight="14.5" x14ac:dyDescent="0.35"/>
  <cols>
    <col min="1" max="1" width="24.7265625" bestFit="1" customWidth="1"/>
    <col min="2" max="2" width="11" bestFit="1" customWidth="1"/>
    <col min="3" max="3" width="10.81640625" bestFit="1" customWidth="1"/>
    <col min="4" max="4" width="6.90625" bestFit="1" customWidth="1"/>
    <col min="5" max="5" width="4.90625" bestFit="1" customWidth="1"/>
    <col min="8" max="8" width="11.36328125" bestFit="1" customWidth="1"/>
  </cols>
  <sheetData>
    <row r="1" spans="1:8" x14ac:dyDescent="0.35">
      <c r="A1" t="s">
        <v>1</v>
      </c>
    </row>
    <row r="2" spans="1:8" x14ac:dyDescent="0.35">
      <c r="A2">
        <v>1</v>
      </c>
      <c r="B2">
        <v>2</v>
      </c>
      <c r="C2">
        <f>SUM(A2:B2)</f>
        <v>3</v>
      </c>
    </row>
    <row r="4" spans="1:8" x14ac:dyDescent="0.35">
      <c r="A4" t="s">
        <v>2</v>
      </c>
    </row>
    <row r="5" spans="1:8" x14ac:dyDescent="0.35">
      <c r="A5">
        <v>1</v>
      </c>
      <c r="B5">
        <v>2</v>
      </c>
      <c r="C5">
        <f>SUM(A5:B5,$B6)</f>
        <v>259</v>
      </c>
    </row>
    <row r="6" spans="1:8" x14ac:dyDescent="0.35">
      <c r="A6" t="s">
        <v>0</v>
      </c>
      <c r="B6">
        <v>256</v>
      </c>
    </row>
    <row r="7" spans="1:8" x14ac:dyDescent="0.35">
      <c r="A7" t="s">
        <v>3</v>
      </c>
    </row>
    <row r="8" spans="1:8" x14ac:dyDescent="0.35">
      <c r="A8">
        <v>1</v>
      </c>
      <c r="B8">
        <v>2</v>
      </c>
      <c r="C8">
        <f>PRODUCT(A8:B8,$B9)</f>
        <v>512</v>
      </c>
    </row>
    <row r="9" spans="1:8" x14ac:dyDescent="0.35">
      <c r="A9" t="s">
        <v>0</v>
      </c>
      <c r="B9">
        <v>256</v>
      </c>
    </row>
    <row r="10" spans="1:8" x14ac:dyDescent="0.35">
      <c r="A10" t="s">
        <v>4</v>
      </c>
    </row>
    <row r="11" spans="1:8" x14ac:dyDescent="0.35">
      <c r="A11">
        <v>1</v>
      </c>
      <c r="B11">
        <v>2</v>
      </c>
      <c r="C11">
        <v>3</v>
      </c>
      <c r="D11">
        <f>AVERAGE(A11:C11)</f>
        <v>2</v>
      </c>
    </row>
    <row r="12" spans="1:8" x14ac:dyDescent="0.35">
      <c r="A12" t="s">
        <v>10</v>
      </c>
    </row>
    <row r="13" spans="1:8" ht="29" x14ac:dyDescent="0.35">
      <c r="A13" s="1" t="s">
        <v>5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16</v>
      </c>
      <c r="G13" s="1" t="s">
        <v>17</v>
      </c>
      <c r="H13" s="1" t="s">
        <v>18</v>
      </c>
    </row>
    <row r="14" spans="1:8" x14ac:dyDescent="0.35">
      <c r="A14" t="s">
        <v>11</v>
      </c>
      <c r="B14">
        <v>50</v>
      </c>
      <c r="C14">
        <v>50</v>
      </c>
      <c r="D14">
        <v>50</v>
      </c>
      <c r="E14">
        <f>SUM(B14:D14)</f>
        <v>150</v>
      </c>
      <c r="F14">
        <f>AVERAGE(B14:D14)</f>
        <v>50</v>
      </c>
      <c r="G14">
        <f>_xlfn.RANK.AVG(F14,F$14:F$16)</f>
        <v>3</v>
      </c>
      <c r="H14">
        <f>SUMPRODUCT(B14:D14,$A$21:$C$21)</f>
        <v>450</v>
      </c>
    </row>
    <row r="15" spans="1:8" x14ac:dyDescent="0.35">
      <c r="A15" t="s">
        <v>12</v>
      </c>
      <c r="B15">
        <v>100</v>
      </c>
      <c r="C15">
        <v>100</v>
      </c>
      <c r="D15">
        <v>100</v>
      </c>
      <c r="E15">
        <f t="shared" ref="E15:E16" si="0">SUM(B15:D15)</f>
        <v>300</v>
      </c>
      <c r="F15">
        <f t="shared" ref="F15:F16" si="1">AVERAGE(B15:D15)</f>
        <v>100</v>
      </c>
      <c r="G15">
        <f t="shared" ref="G15:G16" si="2">_xlfn.RANK.AVG(F15,F$14:F$16)</f>
        <v>1</v>
      </c>
      <c r="H15">
        <f t="shared" ref="H15:H16" si="3">SUMPRODUCT(B15:D15,$A$21:$C$21)</f>
        <v>900</v>
      </c>
    </row>
    <row r="16" spans="1:8" x14ac:dyDescent="0.35">
      <c r="A16" t="s">
        <v>13</v>
      </c>
      <c r="B16">
        <v>80</v>
      </c>
      <c r="C16">
        <v>80</v>
      </c>
      <c r="D16">
        <v>80</v>
      </c>
      <c r="E16">
        <f t="shared" si="0"/>
        <v>240</v>
      </c>
      <c r="F16">
        <f t="shared" si="1"/>
        <v>80</v>
      </c>
      <c r="G16">
        <f t="shared" si="2"/>
        <v>2</v>
      </c>
      <c r="H16">
        <f t="shared" si="3"/>
        <v>720</v>
      </c>
    </row>
    <row r="18" spans="1:4" x14ac:dyDescent="0.35">
      <c r="A18" t="s">
        <v>14</v>
      </c>
      <c r="B18">
        <f>MIN(B14:B16)</f>
        <v>50</v>
      </c>
      <c r="C18">
        <f t="shared" ref="C18:D18" si="4">MIN(C14:C16)</f>
        <v>50</v>
      </c>
      <c r="D18">
        <f t="shared" si="4"/>
        <v>50</v>
      </c>
    </row>
    <row r="19" spans="1:4" x14ac:dyDescent="0.35">
      <c r="A19" t="s">
        <v>15</v>
      </c>
      <c r="B19">
        <f>MAX(B14:B16)</f>
        <v>100</v>
      </c>
      <c r="C19">
        <f t="shared" ref="C19:D19" si="5">MAX(C14:C16)</f>
        <v>100</v>
      </c>
      <c r="D19">
        <f t="shared" si="5"/>
        <v>100</v>
      </c>
    </row>
    <row r="21" spans="1:4" x14ac:dyDescent="0.35">
      <c r="A21">
        <v>3</v>
      </c>
      <c r="B21">
        <v>2</v>
      </c>
      <c r="C21">
        <v>4</v>
      </c>
    </row>
    <row r="23" spans="1:4" x14ac:dyDescent="0.35">
      <c r="A23" t="s">
        <v>19</v>
      </c>
    </row>
    <row r="24" spans="1:4" x14ac:dyDescent="0.35">
      <c r="A24">
        <f ca="1">RAND()</f>
        <v>0.47815380054419498</v>
      </c>
    </row>
    <row r="26" spans="1:4" x14ac:dyDescent="0.35">
      <c r="A26" t="s">
        <v>20</v>
      </c>
    </row>
    <row r="27" spans="1:4" x14ac:dyDescent="0.35">
      <c r="A27">
        <f ca="1">RANDBETWEEN(60,95)</f>
        <v>67</v>
      </c>
    </row>
    <row r="29" spans="1:4" x14ac:dyDescent="0.35">
      <c r="A29" t="s">
        <v>21</v>
      </c>
    </row>
    <row r="30" spans="1:4" x14ac:dyDescent="0.35">
      <c r="A30" t="s">
        <v>22</v>
      </c>
      <c r="B30" t="str">
        <f>TRIM(A30)</f>
        <v>h k</v>
      </c>
    </row>
    <row r="31" spans="1:4" x14ac:dyDescent="0.35">
      <c r="A31" t="s">
        <v>23</v>
      </c>
      <c r="B31" t="str">
        <f>TRIM(A31)</f>
        <v>h k</v>
      </c>
    </row>
    <row r="33" spans="1:4" x14ac:dyDescent="0.35">
      <c r="A33" t="s">
        <v>24</v>
      </c>
    </row>
    <row r="34" spans="1:4" x14ac:dyDescent="0.35">
      <c r="A34" t="str">
        <f>CONCATENATE(A15," marks ",B15)</f>
        <v>ritik marks 100</v>
      </c>
    </row>
    <row r="36" spans="1:4" x14ac:dyDescent="0.35">
      <c r="A36" t="s">
        <v>25</v>
      </c>
    </row>
    <row r="37" spans="1:4" x14ac:dyDescent="0.35">
      <c r="A37" s="2" t="s">
        <v>26</v>
      </c>
      <c r="B37" t="str">
        <f>SUBSTITUTE(A37,"january","april")</f>
        <v>april</v>
      </c>
    </row>
    <row r="40" spans="1:4" x14ac:dyDescent="0.35">
      <c r="A40" t="s">
        <v>27</v>
      </c>
    </row>
    <row r="41" spans="1:4" x14ac:dyDescent="0.35">
      <c r="A41" t="s">
        <v>28</v>
      </c>
      <c r="B41" t="str">
        <f>UPPER(A41)</f>
        <v>HRITHIK</v>
      </c>
    </row>
    <row r="42" spans="1:4" x14ac:dyDescent="0.35">
      <c r="A42" t="s">
        <v>29</v>
      </c>
      <c r="B42" t="str">
        <f>LOWER(A42)</f>
        <v>hrithik</v>
      </c>
    </row>
    <row r="44" spans="1:4" x14ac:dyDescent="0.35">
      <c r="A44" t="s">
        <v>30</v>
      </c>
    </row>
    <row r="45" spans="1:4" x14ac:dyDescent="0.35">
      <c r="A45" t="s">
        <v>31</v>
      </c>
      <c r="B45">
        <f>LEN(A45)</f>
        <v>14</v>
      </c>
    </row>
    <row r="47" spans="1:4" x14ac:dyDescent="0.35">
      <c r="A47" t="s">
        <v>32</v>
      </c>
      <c r="B47" t="s">
        <v>33</v>
      </c>
      <c r="C47" t="s">
        <v>34</v>
      </c>
      <c r="D47" t="s">
        <v>35</v>
      </c>
    </row>
    <row r="48" spans="1:4" x14ac:dyDescent="0.35">
      <c r="A48">
        <v>20262025</v>
      </c>
      <c r="B48" t="str">
        <f>LEFT(A48,2)</f>
        <v>20</v>
      </c>
      <c r="C48" t="str">
        <f>MID(A48,3,4)</f>
        <v>2620</v>
      </c>
      <c r="D48" t="str">
        <f>RIGHT(A48,2)</f>
        <v>25</v>
      </c>
    </row>
    <row r="49" spans="1:4" x14ac:dyDescent="0.35">
      <c r="A49">
        <v>20262024</v>
      </c>
      <c r="B49" t="str">
        <f>LEFT(A49,2)</f>
        <v>20</v>
      </c>
      <c r="C49" t="str">
        <f>MID(A49,3,4)</f>
        <v>2620</v>
      </c>
      <c r="D49" t="str">
        <f>RIGHT(A49,2)</f>
        <v>24</v>
      </c>
    </row>
    <row r="50" spans="1:4" x14ac:dyDescent="0.35">
      <c r="A50">
        <v>20262023</v>
      </c>
      <c r="B50" t="str">
        <f>LEFT(A50,2)</f>
        <v>20</v>
      </c>
      <c r="C50" t="str">
        <f>MID(A50,3,4)</f>
        <v>2620</v>
      </c>
      <c r="D50" t="str">
        <f>RIGHT(A50,2)</f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2026-02-06T10:38:43Z</dcterms:created>
  <dcterms:modified xsi:type="dcterms:W3CDTF">2026-02-06T11:07:15Z</dcterms:modified>
</cp:coreProperties>
</file>