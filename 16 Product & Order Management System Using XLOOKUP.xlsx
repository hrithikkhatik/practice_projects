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13_ncr:1_{B11B8A2F-63AC-4583-862B-80CB779ED5B7}" xr6:coauthVersionLast="47" xr6:coauthVersionMax="47" xr10:uidLastSave="{00000000-0000-0000-0000-000000000000}"/>
  <bookViews>
    <workbookView xWindow="-110" yWindow="-110" windowWidth="21820" windowHeight="13900" activeTab="2" xr2:uid="{FD263D24-293E-4187-8005-CA7278505C9A}"/>
  </bookViews>
  <sheets>
    <sheet name="Product Lookup" sheetId="1" r:id="rId1"/>
    <sheet name="Orders Data" sheetId="2" r:id="rId2"/>
    <sheet name="Product Master Table" sheetId="3" r:id="rId3"/>
  </sheets>
  <definedNames>
    <definedName name="_xlnm._FilterDatabase" localSheetId="2" hidden="1">'Product Master Table'!$A$1:$H$9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2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2" i="3"/>
  <c r="G2" i="3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2" i="2" a="1"/>
  <c r="D2" i="2" s="1"/>
  <c r="G3" i="2"/>
  <c r="B3" i="1"/>
  <c r="G4" i="2" l="1"/>
  <c r="G2" i="2"/>
  <c r="G9" i="2"/>
  <c r="G8" i="2"/>
  <c r="G7" i="2"/>
  <c r="G6" i="2"/>
  <c r="G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<sst xmlns="http://schemas.openxmlformats.org/spreadsheetml/2006/main" count="34" uniqueCount="27">
  <si>
    <t>Product ID</t>
  </si>
  <si>
    <t>Product Name</t>
  </si>
  <si>
    <t>appliance q</t>
  </si>
  <si>
    <t>Order ID</t>
  </si>
  <si>
    <t>Quantity</t>
  </si>
  <si>
    <t>Category</t>
  </si>
  <si>
    <t>Price ($)</t>
  </si>
  <si>
    <t>Stock Quantity</t>
  </si>
  <si>
    <t>widget A</t>
  </si>
  <si>
    <t>electronics</t>
  </si>
  <si>
    <t>widget B</t>
  </si>
  <si>
    <t>gadget X</t>
  </si>
  <si>
    <t>home goods</t>
  </si>
  <si>
    <t>gadget Y</t>
  </si>
  <si>
    <t>tool Z</t>
  </si>
  <si>
    <t>tools</t>
  </si>
  <si>
    <t>tool W</t>
  </si>
  <si>
    <t>appliance Q</t>
  </si>
  <si>
    <t>appliances</t>
  </si>
  <si>
    <t>appliance P</t>
  </si>
  <si>
    <t>product name</t>
  </si>
  <si>
    <t>category</t>
  </si>
  <si>
    <t>price</t>
  </si>
  <si>
    <t>total amount</t>
  </si>
  <si>
    <t>sold quantity</t>
  </si>
  <si>
    <t>remaining stock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</si>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</sst>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F739-01EC-498F-BD8C-82D5DE8509F9}">
  <dimension ref="A1:B3"/>
  <sheetViews>
    <sheetView workbookViewId="0">
      <selection activeCell="A3" sqref="A3"/>
    </sheetView>
  </sheetViews>
  <sheetFormatPr defaultRowHeight="14.5" x14ac:dyDescent="0.35"/>
  <cols>
    <col min="1" max="1" width="9.54296875" bestFit="1" customWidth="1"/>
    <col min="2" max="2" width="12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107</v>
      </c>
      <c r="B2" s="2" t="s">
        <v>2</v>
      </c>
    </row>
    <row r="3" spans="1:2" x14ac:dyDescent="0.35">
      <c r="A3">
        <v>102</v>
      </c>
      <c r="B3" t="str">
        <f>_xlfn.XLOOKUP(A3,'Product Master Table'!A2:A9,'Product Master Table'!B2:B9)</f>
        <v>widget 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0F12-897E-430C-8634-4D379ACC0AE9}">
  <dimension ref="A1:G9"/>
  <sheetViews>
    <sheetView workbookViewId="0">
      <selection activeCell="H22" sqref="H22"/>
    </sheetView>
  </sheetViews>
  <sheetFormatPr defaultRowHeight="14.5" x14ac:dyDescent="0.35"/>
  <cols>
    <col min="1" max="1" width="7.6328125" bestFit="1" customWidth="1"/>
    <col min="2" max="2" width="9.54296875" bestFit="1" customWidth="1"/>
    <col min="3" max="3" width="8" bestFit="1" customWidth="1"/>
    <col min="4" max="4" width="12.453125" bestFit="1" customWidth="1"/>
    <col min="5" max="5" width="10.54296875" bestFit="1" customWidth="1"/>
    <col min="6" max="6" width="5.08984375" bestFit="1" customWidth="1"/>
    <col min="7" max="7" width="11.453125" bestFit="1" customWidth="1"/>
  </cols>
  <sheetData>
    <row r="1" spans="1:7" x14ac:dyDescent="0.35">
      <c r="A1" s="1" t="s">
        <v>3</v>
      </c>
      <c r="B1" s="1" t="s">
        <v>0</v>
      </c>
      <c r="C1" s="1" t="s">
        <v>4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5">
      <c r="A2" s="2">
        <v>1001</v>
      </c>
      <c r="B2" s="2">
        <v>101</v>
      </c>
      <c r="C2" s="2">
        <v>5</v>
      </c>
      <c r="D2" t="str" cm="1">
        <f t="array" ref="D2:F2">_xlfn.XLOOKUP(B2,'Product Master Table'!A2:A9,'Product Master Table'!B2:D9)</f>
        <v>widget A</v>
      </c>
      <c r="E2" t="str">
        <v>electronics</v>
      </c>
      <c r="F2">
        <v>25</v>
      </c>
      <c r="G2">
        <f t="shared" ref="G2:G9" si="0">C2*F2</f>
        <v>125</v>
      </c>
    </row>
    <row r="3" spans="1:7" x14ac:dyDescent="0.35">
      <c r="A3" s="2">
        <v>1004</v>
      </c>
      <c r="B3" s="2">
        <v>102</v>
      </c>
      <c r="C3" s="2">
        <v>2</v>
      </c>
      <c r="D3" t="str" cm="1">
        <f t="array" ref="D3:F3">_xlfn.XLOOKUP(B3,'Product Master Table'!A3:A10,'Product Master Table'!B3:D10)</f>
        <v>widget B</v>
      </c>
      <c r="E3" t="str">
        <v>electronics</v>
      </c>
      <c r="F3">
        <v>35</v>
      </c>
      <c r="G3">
        <f t="shared" si="0"/>
        <v>70</v>
      </c>
    </row>
    <row r="4" spans="1:7" x14ac:dyDescent="0.35">
      <c r="A4" s="2">
        <v>1002</v>
      </c>
      <c r="B4" s="2">
        <v>103</v>
      </c>
      <c r="C4" s="2">
        <v>3</v>
      </c>
      <c r="D4" t="str" cm="1">
        <f t="array" ref="D4:F4">_xlfn.XLOOKUP(B4,'Product Master Table'!A4:A11,'Product Master Table'!B4:D11)</f>
        <v>gadget X</v>
      </c>
      <c r="E4" t="str">
        <v>home goods</v>
      </c>
      <c r="F4">
        <v>45</v>
      </c>
      <c r="G4">
        <f t="shared" si="0"/>
        <v>135</v>
      </c>
    </row>
    <row r="5" spans="1:7" x14ac:dyDescent="0.35">
      <c r="A5" s="2">
        <v>1006</v>
      </c>
      <c r="B5" s="2">
        <v>104</v>
      </c>
      <c r="C5" s="2">
        <v>6</v>
      </c>
      <c r="D5" t="str" cm="1">
        <f t="array" ref="D5:F5">_xlfn.XLOOKUP(B5,'Product Master Table'!A5:A12,'Product Master Table'!B5:D12)</f>
        <v>gadget Y</v>
      </c>
      <c r="E5" t="str">
        <v>home goods</v>
      </c>
      <c r="F5">
        <v>55</v>
      </c>
      <c r="G5">
        <f t="shared" si="0"/>
        <v>330</v>
      </c>
    </row>
    <row r="6" spans="1:7" x14ac:dyDescent="0.35">
      <c r="A6" s="2">
        <v>1005</v>
      </c>
      <c r="B6" s="2">
        <v>105</v>
      </c>
      <c r="C6" s="2">
        <v>4</v>
      </c>
      <c r="D6" t="str" cm="1">
        <f t="array" ref="D6:F6">_xlfn.XLOOKUP(B6,'Product Master Table'!A6:A13,'Product Master Table'!B6:D13)</f>
        <v>tool Z</v>
      </c>
      <c r="E6" t="str">
        <v>tools</v>
      </c>
      <c r="F6">
        <v>20</v>
      </c>
      <c r="G6">
        <f t="shared" si="0"/>
        <v>80</v>
      </c>
    </row>
    <row r="7" spans="1:7" x14ac:dyDescent="0.35">
      <c r="A7" s="2">
        <v>1008</v>
      </c>
      <c r="B7" s="2">
        <v>106</v>
      </c>
      <c r="C7" s="2">
        <v>3</v>
      </c>
      <c r="D7" t="str" cm="1">
        <f t="array" ref="D7:F7">_xlfn.XLOOKUP(B7,'Product Master Table'!A7:A14,'Product Master Table'!B7:D14)</f>
        <v>tool W</v>
      </c>
      <c r="E7" t="str">
        <v>tools</v>
      </c>
      <c r="F7">
        <v>30</v>
      </c>
      <c r="G7">
        <f t="shared" si="0"/>
        <v>90</v>
      </c>
    </row>
    <row r="8" spans="1:7" x14ac:dyDescent="0.35">
      <c r="A8" s="2">
        <v>1003</v>
      </c>
      <c r="B8" s="2">
        <v>107</v>
      </c>
      <c r="C8" s="2">
        <v>1</v>
      </c>
      <c r="D8" t="str" cm="1">
        <f t="array" ref="D8:F8">_xlfn.XLOOKUP(B8,'Product Master Table'!A8:A15,'Product Master Table'!B8:D15)</f>
        <v>appliance Q</v>
      </c>
      <c r="E8" t="str">
        <v>appliances</v>
      </c>
      <c r="F8">
        <v>150</v>
      </c>
      <c r="G8">
        <f t="shared" si="0"/>
        <v>150</v>
      </c>
    </row>
    <row r="9" spans="1:7" x14ac:dyDescent="0.35">
      <c r="A9" s="2">
        <v>1007</v>
      </c>
      <c r="B9" s="2">
        <v>108</v>
      </c>
      <c r="C9" s="2">
        <v>2</v>
      </c>
      <c r="D9" t="str" cm="1">
        <f t="array" ref="D9:F9">_xlfn.XLOOKUP(B9,'Product Master Table'!A9:A16,'Product Master Table'!B9:D16)</f>
        <v>appliance P</v>
      </c>
      <c r="E9" t="str">
        <v>appliances</v>
      </c>
      <c r="F9">
        <v>200</v>
      </c>
      <c r="G9">
        <f t="shared" si="0"/>
        <v>400</v>
      </c>
    </row>
  </sheetData>
  <sortState xmlns:xlrd2="http://schemas.microsoft.com/office/spreadsheetml/2017/richdata2" ref="A2:G9">
    <sortCondition ref="B2:B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BE40-DD57-48C9-A655-AD2DD72D16C4}">
  <dimension ref="A1:H9"/>
  <sheetViews>
    <sheetView tabSelected="1" workbookViewId="0">
      <selection activeCell="J5" sqref="J5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3" width="10.54296875" bestFit="1" customWidth="1"/>
    <col min="4" max="4" width="7.7265625" bestFit="1" customWidth="1"/>
    <col min="5" max="5" width="13.1796875" bestFit="1" customWidth="1"/>
    <col min="6" max="6" width="11.7265625" bestFit="1" customWidth="1"/>
    <col min="7" max="7" width="14.26953125" bestFit="1" customWidth="1"/>
    <col min="8" max="8" width="9.36328125" bestFit="1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24</v>
      </c>
      <c r="G1" s="1" t="s">
        <v>25</v>
      </c>
      <c r="H1" s="1" t="s">
        <v>26</v>
      </c>
    </row>
    <row r="2" spans="1:8" x14ac:dyDescent="0.35">
      <c r="A2" s="2">
        <v>101</v>
      </c>
      <c r="B2" s="2" t="s">
        <v>8</v>
      </c>
      <c r="C2" s="2" t="s">
        <v>9</v>
      </c>
      <c r="D2" s="2">
        <v>25</v>
      </c>
      <c r="E2" s="2">
        <v>50</v>
      </c>
      <c r="F2">
        <f>_xlfn.XLOOKUP(A2,'Orders Data'!B2:B9,'Orders Data'!C2:C9)</f>
        <v>5</v>
      </c>
      <c r="G2">
        <f>E2-F2</f>
        <v>45</v>
      </c>
      <c r="H2">
        <f>D2*F2</f>
        <v>125</v>
      </c>
    </row>
    <row r="3" spans="1:8" x14ac:dyDescent="0.35">
      <c r="A3" s="2">
        <v>102</v>
      </c>
      <c r="B3" s="2" t="s">
        <v>10</v>
      </c>
      <c r="C3" s="2" t="s">
        <v>9</v>
      </c>
      <c r="D3" s="2">
        <v>35</v>
      </c>
      <c r="E3" s="2">
        <v>30</v>
      </c>
      <c r="F3">
        <f>_xlfn.XLOOKUP(A3,'Orders Data'!B3:B10,'Orders Data'!C3:C10)</f>
        <v>2</v>
      </c>
      <c r="G3">
        <f t="shared" ref="G3:G9" si="0">E3-F3</f>
        <v>28</v>
      </c>
      <c r="H3">
        <f t="shared" ref="H3:H9" si="1">D3*F3</f>
        <v>70</v>
      </c>
    </row>
    <row r="4" spans="1:8" x14ac:dyDescent="0.35">
      <c r="A4" s="2">
        <v>103</v>
      </c>
      <c r="B4" s="2" t="s">
        <v>11</v>
      </c>
      <c r="C4" s="2" t="s">
        <v>12</v>
      </c>
      <c r="D4" s="2">
        <v>45</v>
      </c>
      <c r="E4" s="2">
        <v>20</v>
      </c>
      <c r="F4">
        <f>_xlfn.XLOOKUP(A4,'Orders Data'!B4:B11,'Orders Data'!C4:C11)</f>
        <v>3</v>
      </c>
      <c r="G4">
        <f t="shared" si="0"/>
        <v>17</v>
      </c>
      <c r="H4">
        <f t="shared" si="1"/>
        <v>135</v>
      </c>
    </row>
    <row r="5" spans="1:8" x14ac:dyDescent="0.35">
      <c r="A5" s="2">
        <v>104</v>
      </c>
      <c r="B5" s="2" t="s">
        <v>13</v>
      </c>
      <c r="C5" s="2" t="s">
        <v>12</v>
      </c>
      <c r="D5" s="2">
        <v>55</v>
      </c>
      <c r="E5" s="2">
        <v>15</v>
      </c>
      <c r="F5">
        <f>_xlfn.XLOOKUP(A5,'Orders Data'!B5:B12,'Orders Data'!C5:C12)</f>
        <v>6</v>
      </c>
      <c r="G5">
        <f t="shared" si="0"/>
        <v>9</v>
      </c>
      <c r="H5">
        <f t="shared" si="1"/>
        <v>330</v>
      </c>
    </row>
    <row r="6" spans="1:8" x14ac:dyDescent="0.35">
      <c r="A6" s="2">
        <v>105</v>
      </c>
      <c r="B6" s="2" t="s">
        <v>14</v>
      </c>
      <c r="C6" s="2" t="s">
        <v>15</v>
      </c>
      <c r="D6" s="2">
        <v>20</v>
      </c>
      <c r="E6" s="2">
        <v>40</v>
      </c>
      <c r="F6">
        <f>_xlfn.XLOOKUP(A6,'Orders Data'!B6:B13,'Orders Data'!C6:C13)</f>
        <v>4</v>
      </c>
      <c r="G6">
        <f t="shared" si="0"/>
        <v>36</v>
      </c>
      <c r="H6">
        <f t="shared" si="1"/>
        <v>80</v>
      </c>
    </row>
    <row r="7" spans="1:8" x14ac:dyDescent="0.35">
      <c r="A7" s="2">
        <v>106</v>
      </c>
      <c r="B7" s="2" t="s">
        <v>16</v>
      </c>
      <c r="C7" s="2" t="s">
        <v>15</v>
      </c>
      <c r="D7" s="2">
        <v>30</v>
      </c>
      <c r="E7" s="2">
        <v>25</v>
      </c>
      <c r="F7">
        <f>_xlfn.XLOOKUP(A7,'Orders Data'!B7:B14,'Orders Data'!C7:C14)</f>
        <v>3</v>
      </c>
      <c r="G7">
        <f t="shared" si="0"/>
        <v>22</v>
      </c>
      <c r="H7">
        <f t="shared" si="1"/>
        <v>90</v>
      </c>
    </row>
    <row r="8" spans="1:8" x14ac:dyDescent="0.35">
      <c r="A8" s="2">
        <v>107</v>
      </c>
      <c r="B8" s="2" t="s">
        <v>17</v>
      </c>
      <c r="C8" s="2" t="s">
        <v>18</v>
      </c>
      <c r="D8" s="2">
        <v>150</v>
      </c>
      <c r="E8" s="2">
        <v>10</v>
      </c>
      <c r="F8">
        <f>_xlfn.XLOOKUP(A8,'Orders Data'!B8:B15,'Orders Data'!C8:C15)</f>
        <v>1</v>
      </c>
      <c r="G8">
        <f t="shared" si="0"/>
        <v>9</v>
      </c>
      <c r="H8">
        <f t="shared" si="1"/>
        <v>150</v>
      </c>
    </row>
    <row r="9" spans="1:8" x14ac:dyDescent="0.35">
      <c r="A9" s="2">
        <v>108</v>
      </c>
      <c r="B9" s="2" t="s">
        <v>19</v>
      </c>
      <c r="C9" s="2" t="s">
        <v>18</v>
      </c>
      <c r="D9" s="2">
        <v>200</v>
      </c>
      <c r="E9" s="2">
        <v>5</v>
      </c>
      <c r="F9">
        <f>_xlfn.XLOOKUP(A9,'Orders Data'!B9:B16,'Orders Data'!C9:C16)</f>
        <v>2</v>
      </c>
      <c r="G9">
        <f t="shared" si="0"/>
        <v>3</v>
      </c>
      <c r="H9">
        <f t="shared" si="1"/>
        <v>400</v>
      </c>
    </row>
  </sheetData>
  <pageMargins left="0.7" right="0.7" top="0.75" bottom="0.75" header="0.3" footer="0.3"/>
  <ignoredErrors>
    <ignoredError sqref="F3:F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Lookup</vt:lpstr>
      <vt:lpstr>Orders Data</vt:lpstr>
      <vt:lpstr>Product Master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2026-02-20T10:13:23Z</dcterms:created>
  <dcterms:modified xsi:type="dcterms:W3CDTF">2026-02-20T10:41:17Z</dcterms:modified>
</cp:coreProperties>
</file>