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rithik\DD_DA_Assignment(TD)\DA_practice\"/>
    </mc:Choice>
  </mc:AlternateContent>
  <xr:revisionPtr revIDLastSave="0" documentId="8_{0FD3EA21-1382-467B-9E6F-EB8D147298DE}" xr6:coauthVersionLast="47" xr6:coauthVersionMax="47" xr10:uidLastSave="{00000000-0000-0000-0000-000000000000}"/>
  <bookViews>
    <workbookView xWindow="-110" yWindow="-110" windowWidth="21820" windowHeight="13900" firstSheet="2" activeTab="5" xr2:uid="{79987642-85AC-4FDE-AC3D-89625FDF60FB}"/>
  </bookViews>
  <sheets>
    <sheet name="Pivot Table Analysis" sheetId="8" r:id="rId1"/>
    <sheet name="Salesman Performance" sheetId="9" r:id="rId2"/>
    <sheet name="Monthly Sales Trend" sheetId="10" r:id="rId3"/>
    <sheet name="Category Sales" sheetId="11" r:id="rId4"/>
    <sheet name="Profit Flow" sheetId="12" r:id="rId5"/>
    <sheet name="Dashboard" sheetId="13" r:id="rId6"/>
    <sheet name="Sales Data" sheetId="1" r:id="rId7"/>
    <sheet name="sparklines" sheetId="14" r:id="rId8"/>
    <sheet name="Price List" sheetId="2" r:id="rId9"/>
    <sheet name="raw data" sheetId="3" r:id="rId10"/>
  </sheets>
  <definedNames>
    <definedName name="_xlnm._FilterDatabase" localSheetId="6" hidden="1">'Sales Data'!$A$1:$J$26</definedName>
    <definedName name="_xlchart.v1.0" hidden="1">'Profit Flow'!$A$11:$A$14</definedName>
    <definedName name="_xlchart.v1.1" hidden="1">'Profit Flow'!$B$10</definedName>
    <definedName name="_xlchart.v1.2" hidden="1">'Profit Flow'!$B$11:$B$14</definedName>
    <definedName name="_xlchart.v1.3" hidden="1">'Profit Flow'!$A$11:$A$14</definedName>
    <definedName name="_xlchart.v1.4" hidden="1">'Profit Flow'!$B$10</definedName>
    <definedName name="_xlchart.v1.5" hidden="1">'Profit Flow'!$B$11:$B$14</definedName>
    <definedName name="Slicer_category">#N/A</definedName>
    <definedName name="Slicer_Month_Extraction">#N/A</definedName>
    <definedName name="Slicer_region">#N/A</definedName>
    <definedName name="Slicer_Salesman">#N/A</definedName>
  </definedNames>
  <calcPr calcId="191029"/>
  <pivotCaches>
    <pivotCache cacheId="29"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 i="13" l="1"/>
  <c r="B3" i="13"/>
  <c r="N3" i="1"/>
  <c r="N6" i="1"/>
  <c r="N10" i="1"/>
  <c r="N12" i="1"/>
  <c r="N13" i="1"/>
  <c r="N14" i="1"/>
  <c r="N17" i="1"/>
  <c r="N18" i="1"/>
  <c r="N19" i="1"/>
  <c r="N21" i="1"/>
  <c r="N22" i="1"/>
  <c r="N25" i="1"/>
  <c r="N26" i="1"/>
  <c r="M4" i="1"/>
  <c r="M6" i="1"/>
  <c r="M8" i="1"/>
  <c r="M10" i="1"/>
  <c r="M12" i="1"/>
  <c r="M13" i="1"/>
  <c r="M14" i="1"/>
  <c r="M15" i="1"/>
  <c r="M16" i="1"/>
  <c r="M17" i="1"/>
  <c r="M18" i="1"/>
  <c r="M19" i="1"/>
  <c r="M20" i="1"/>
  <c r="M21" i="1"/>
  <c r="M22" i="1"/>
  <c r="M23" i="1"/>
  <c r="M24" i="1"/>
  <c r="M25" i="1"/>
  <c r="M26" i="1"/>
  <c r="M3" i="1"/>
  <c r="M5" i="1"/>
  <c r="M7" i="1"/>
  <c r="M9" i="1"/>
  <c r="M11" i="1"/>
  <c r="M2" i="1"/>
  <c r="K20" i="1"/>
  <c r="L20" i="1" s="1"/>
  <c r="K5" i="1"/>
  <c r="L5" i="1" s="1"/>
  <c r="J4" i="1"/>
  <c r="K4" i="1" s="1"/>
  <c r="L4" i="1" s="1"/>
  <c r="J6" i="1"/>
  <c r="K6" i="1" s="1"/>
  <c r="L6" i="1" s="1"/>
  <c r="J8" i="1"/>
  <c r="K8" i="1" s="1"/>
  <c r="L8" i="1" s="1"/>
  <c r="J10" i="1"/>
  <c r="K10" i="1" s="1"/>
  <c r="L10" i="1" s="1"/>
  <c r="J12" i="1"/>
  <c r="K12" i="1" s="1"/>
  <c r="L12" i="1" s="1"/>
  <c r="J13" i="1"/>
  <c r="K13" i="1" s="1"/>
  <c r="L13" i="1" s="1"/>
  <c r="J14" i="1"/>
  <c r="K14" i="1" s="1"/>
  <c r="L14" i="1" s="1"/>
  <c r="J15" i="1"/>
  <c r="K15" i="1" s="1"/>
  <c r="L15" i="1" s="1"/>
  <c r="J16" i="1"/>
  <c r="K16" i="1" s="1"/>
  <c r="L16" i="1" s="1"/>
  <c r="J17" i="1"/>
  <c r="K17" i="1" s="1"/>
  <c r="L17" i="1" s="1"/>
  <c r="J18" i="1"/>
  <c r="K18" i="1" s="1"/>
  <c r="L18" i="1" s="1"/>
  <c r="J19" i="1"/>
  <c r="K19" i="1" s="1"/>
  <c r="L19" i="1" s="1"/>
  <c r="J20" i="1"/>
  <c r="J21" i="1"/>
  <c r="K21" i="1" s="1"/>
  <c r="L21" i="1" s="1"/>
  <c r="J22" i="1"/>
  <c r="K22" i="1" s="1"/>
  <c r="L22" i="1" s="1"/>
  <c r="J23" i="1"/>
  <c r="K23" i="1" s="1"/>
  <c r="L23" i="1" s="1"/>
  <c r="J24" i="1"/>
  <c r="K24" i="1" s="1"/>
  <c r="L24" i="1" s="1"/>
  <c r="J25" i="1"/>
  <c r="K25" i="1" s="1"/>
  <c r="L25" i="1" s="1"/>
  <c r="J26" i="1"/>
  <c r="K26" i="1" s="1"/>
  <c r="L26" i="1" s="1"/>
  <c r="J3" i="1"/>
  <c r="K3" i="1" s="1"/>
  <c r="L3" i="1" s="1"/>
  <c r="J5" i="1"/>
  <c r="J7" i="1"/>
  <c r="K7" i="1" s="1"/>
  <c r="L7" i="1" s="1"/>
  <c r="J9" i="1"/>
  <c r="K9" i="1" s="1"/>
  <c r="L9" i="1" s="1"/>
  <c r="J11" i="1"/>
  <c r="K11" i="1" s="1"/>
  <c r="L11" i="1" s="1"/>
  <c r="J2" i="1"/>
  <c r="K2" i="1" s="1"/>
  <c r="L2" i="1" s="1"/>
  <c r="N20" i="1" l="1"/>
  <c r="N4" i="1"/>
  <c r="N2" i="1"/>
  <c r="B2" i="13"/>
  <c r="N24" i="1"/>
  <c r="N16" i="1"/>
  <c r="N8" i="1"/>
  <c r="N5" i="1"/>
  <c r="N11" i="1"/>
  <c r="N9" i="1"/>
  <c r="N23" i="1"/>
  <c r="N15" i="1"/>
  <c r="N7" i="1"/>
  <c r="B4" i="13"/>
</calcChain>
</file>

<file path=xl/sharedStrings.xml><?xml version="1.0" encoding="utf-8"?>
<sst xmlns="http://schemas.openxmlformats.org/spreadsheetml/2006/main" count="377" uniqueCount="131">
  <si>
    <t>Order_ID,Customer_ID,Product,Salesman,Quantity,Order_Date,Status</t>
  </si>
  <si>
    <t>Order_ID</t>
  </si>
  <si>
    <t>Customer_ID</t>
  </si>
  <si>
    <t>Product</t>
  </si>
  <si>
    <t>Salesman</t>
  </si>
  <si>
    <t>Quantity</t>
  </si>
  <si>
    <t>Order_Date</t>
  </si>
  <si>
    <t>Status</t>
  </si>
  <si>
    <t>C101</t>
  </si>
  <si>
    <t>iPhone 13</t>
  </si>
  <si>
    <t>Rahul</t>
  </si>
  <si>
    <t>Delivered</t>
  </si>
  <si>
    <t>C102</t>
  </si>
  <si>
    <t>Dell XPS</t>
  </si>
  <si>
    <t>Amit</t>
  </si>
  <si>
    <t>C103</t>
  </si>
  <si>
    <t>iPad Air</t>
  </si>
  <si>
    <t>Sneha</t>
  </si>
  <si>
    <t>Pending</t>
  </si>
  <si>
    <t>C104</t>
  </si>
  <si>
    <t>Samsung S23</t>
  </si>
  <si>
    <t>C105</t>
  </si>
  <si>
    <t>HP Spectre</t>
  </si>
  <si>
    <t>Cancelled</t>
  </si>
  <si>
    <t>C106</t>
  </si>
  <si>
    <t>OnePlus 11</t>
  </si>
  <si>
    <t>C107</t>
  </si>
  <si>
    <t>MacBook Air</t>
  </si>
  <si>
    <t>C108</t>
  </si>
  <si>
    <t>Lenovo Tab</t>
  </si>
  <si>
    <t>C109</t>
  </si>
  <si>
    <t>C110</t>
  </si>
  <si>
    <t>C111</t>
  </si>
  <si>
    <t>C112</t>
  </si>
  <si>
    <t>C113</t>
  </si>
  <si>
    <t>C114</t>
  </si>
  <si>
    <t>C115</t>
  </si>
  <si>
    <t>C116</t>
  </si>
  <si>
    <t>C117</t>
  </si>
  <si>
    <t>C118</t>
  </si>
  <si>
    <t>C119</t>
  </si>
  <si>
    <t>C120</t>
  </si>
  <si>
    <t>Unit_Price</t>
  </si>
  <si>
    <t>ORD101</t>
  </si>
  <si>
    <t>North</t>
  </si>
  <si>
    <t>Mobile</t>
  </si>
  <si>
    <t>ORD102</t>
  </si>
  <si>
    <t>South</t>
  </si>
  <si>
    <t>Laptop</t>
  </si>
  <si>
    <t>ORD103</t>
  </si>
  <si>
    <t>West</t>
  </si>
  <si>
    <t>Tablet</t>
  </si>
  <si>
    <t>ORD104</t>
  </si>
  <si>
    <t>East</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</si>
  <si>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</si>
  <si>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</si>
  <si>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</si>
  <si>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</si>
  <si>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</si>
  <si>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</si>
  <si>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</si>
  <si>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</si>
  <si>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</si>
  <si>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</si>
  <si>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</si>
  <si>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</si>
  <si>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</si>
  <si>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</si>
  <si>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</si>
  <si>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</si>
  <si>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</si>
  <si>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</si>
  <si>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</si>
  <si>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</si>
  <si>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</si>
  <si>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region</t>
  </si>
  <si>
    <t>data 1</t>
  </si>
  <si>
    <t>Mobile,C101,iPhone 13,Rahul,2,12</t>
  </si>
  <si>
    <t>2024,Delivered</t>
  </si>
  <si>
    <t>Laptop,C102,Dell XPS,Amit,1,15</t>
  </si>
  <si>
    <t>Tablet,C103,iPad Air,Sneha,3,18</t>
  </si>
  <si>
    <t>2024,Pending</t>
  </si>
  <si>
    <t>Mobile,C104,Samsung S23,Rahul,2,20</t>
  </si>
  <si>
    <t>Laptop,C105,HP Spectre,Amit,1,22</t>
  </si>
  <si>
    <t>2024,Cancelled</t>
  </si>
  <si>
    <t>Mobile,C106,OnePlus 11,Sneha,4,25</t>
  </si>
  <si>
    <t>Laptop,C107,MacBook Air,Rahul,1,28</t>
  </si>
  <si>
    <t>Tablet,C108,Lenovo Tab,Amit,2,01</t>
  </si>
  <si>
    <t>Mobile,C109,iPhone 13,Sneha,1,05</t>
  </si>
  <si>
    <t>Laptop,C110,Dell XPS,Rahul,2,08</t>
  </si>
  <si>
    <t>Mobile,C111,OnePlus 11,Amit,3,10</t>
  </si>
  <si>
    <t>Laptop,C112,HP Spectre,Sneha,1,14</t>
  </si>
  <si>
    <t>Tablet,C113,iPad Air,Rahul,2,18</t>
  </si>
  <si>
    <t>Mobile,C114,Samsung S23,Amit,1,20</t>
  </si>
  <si>
    <t>Laptop,C115,MacBook Air,Sneha,2,25</t>
  </si>
  <si>
    <t>Mobile,C116,iPhone 13,Rahul,3,01</t>
  </si>
  <si>
    <t>Laptop,C117,Dell XPS,Amit,1,05</t>
  </si>
  <si>
    <t>Tablet,C118,Lenovo Tab,Sneha,4,10</t>
  </si>
  <si>
    <t>Mobile,C119,OnePlus 11,Rahul,2,15</t>
  </si>
  <si>
    <t>Laptop,C120,HP Spectre,Amit,1,20</t>
  </si>
  <si>
    <t>data 2</t>
  </si>
  <si>
    <t>Product,Unit_Price</t>
  </si>
  <si>
    <t>iPhone 13,70000</t>
  </si>
  <si>
    <t>Samsung S23,65000</t>
  </si>
  <si>
    <t>OnePlus 11,55000</t>
  </si>
  <si>
    <t>Dell XPS,90000</t>
  </si>
  <si>
    <t>HP Spectre,95000</t>
  </si>
  <si>
    <t>MacBook Air,110000</t>
  </si>
  <si>
    <t>iPad Air,60000</t>
  </si>
  <si>
    <t>Lenovo Tab,25000</t>
  </si>
  <si>
    <t>category</t>
  </si>
  <si>
    <t>price</t>
  </si>
  <si>
    <t>total sales</t>
  </si>
  <si>
    <t>bonus</t>
  </si>
  <si>
    <t>Month Extraction</t>
  </si>
  <si>
    <t>Row Labels</t>
  </si>
  <si>
    <t>Grand Total</t>
  </si>
  <si>
    <t>Sum of total sales</t>
  </si>
  <si>
    <t>Jan</t>
  </si>
  <si>
    <t>Feb</t>
  </si>
  <si>
    <t>Mar</t>
  </si>
  <si>
    <t>Column Labels</t>
  </si>
  <si>
    <t>profit</t>
  </si>
  <si>
    <t>Sum of profit</t>
  </si>
  <si>
    <t>trend</t>
  </si>
  <si>
    <t>KPI</t>
  </si>
  <si>
    <t>Value</t>
  </si>
  <si>
    <t>Total Sales</t>
  </si>
  <si>
    <t>Total Orders</t>
  </si>
  <si>
    <t>Average Order</t>
  </si>
  <si>
    <t>Top Salesman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</si>
</sst>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8">
    <xf numFmtId="0" fontId="0" fillId="0" borderId="0" xfId="0"/>
    <xf numFmtId="14" fontId="0" fillId="0" borderId="0" xfId="0" applyNumberFormat="1"/>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7">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dxf>
    <dxf>
      <font>
        <b/>
        <i val="0"/>
        <strike val="0"/>
        <condense val="0"/>
        <extend val="0"/>
        <outline val="0"/>
        <shadow val="0"/>
        <u val="none"/>
        <vertAlign val="baseline"/>
        <sz val="11"/>
        <color theme="1"/>
        <name val="Aptos Narrow"/>
        <family val="2"/>
        <scheme val="minor"/>
      </font>
    </dxf>
    <dxf>
      <numFmt numFmtId="19"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[84 Business Sales Analytics Dashboard.xlsx]Salesman Performance!PivotTable3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Salesman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'Salesman Performance'!$B$3</c:f>
              <c:strCache>
                <c:ptCount val="1"/>
                <c:pt idx="0">
                  <c:v>Total</c:v>
                </c:pt>
              </c:strCache>
            </c:strRef>
          </c:tx>
          <c:spPr>
            <a:solidFill>
              <a:schemeClr val="accent1"/>
            </a:solidFill>
            <a:ln>
              <a:noFill/>
            </a:ln>
            <a:effectLst/>
          </c:spPr>
          <c:invertIfNegative val="0"/>
          <c:cat>
            <c:strRef>
              <c:f>'Salesman Performance'!$A$4:$A$7</c:f>
              <c:strCache>
                <c:ptCount val="3"/>
                <c:pt idx="0">
                  <c:v>Sneha</c:v>
                </c:pt>
                <c:pt idx="1">
                  <c:v>Amit</c:v>
                </c:pt>
                <c:pt idx="2">
                  <c:v>Rahul</c:v>
                </c:pt>
              </c:strCache>
            </c:strRef>
          </c:cat>
          <c:val>
            <c:numRef>
              <c:f>'Salesman Performance'!$B$4:$B$7</c:f>
              <c:numCache>
                <c:formatCode>General</c:formatCode>
                <c:ptCount val="3"/>
                <c:pt idx="0">
                  <c:v>320000</c:v>
                </c:pt>
                <c:pt idx="1">
                  <c:v>245000</c:v>
                </c:pt>
                <c:pt idx="2">
                  <c:v>180000</c:v>
                </c:pt>
              </c:numCache>
            </c:numRef>
          </c:val>
          <c:extLst>
            <c:ext xmlns:c16="http://schemas.microsoft.com/office/drawing/2014/chart" uri="{C3380CC4-5D6E-409C-BE32-E72D297353CC}">
              <c16:uniqueId val="{00000000-FFA7-4DCA-A894-FDBE2F0E2240}"/>
            </c:ext>
          </c:extLst>
        </c:ser>
        <c:dLbls>
          <c:showLegendKey val="0"/>
          <c:showVal val="0"/>
          <c:showCatName val="0"/>
          <c:showSerName val="0"/>
          <c:showPercent val="0"/>
          <c:showBubbleSize val="0"/>
        </c:dLbls>
        <c:gapWidth val="219"/>
        <c:axId val="1798102863"/>
        <c:axId val="1798104303"/>
      </c:barChart>
      <c:catAx>
        <c:axId val="179810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104303"/>
        <c:crosses val="autoZero"/>
        <c:auto val="1"/>
        <c:lblAlgn val="ctr"/>
        <c:lblOffset val="100"/>
        <c:noMultiLvlLbl val="0"/>
      </c:catAx>
      <c:valAx>
        <c:axId val="179810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10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[84 Business Sales Analytics Dashboard.xlsx]Monthly Sales Trend!PivotTable4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strRef>
              <c:f>'Monthly Sales Trend'!$A$4:$A$7</c:f>
              <c:strCache>
                <c:ptCount val="3"/>
                <c:pt idx="0">
                  <c:v>Jan</c:v>
                </c:pt>
                <c:pt idx="1">
                  <c:v>Feb</c:v>
                </c:pt>
                <c:pt idx="2">
                  <c:v>Mar</c:v>
                </c:pt>
              </c:strCache>
            </c:strRef>
          </c:cat>
          <c:val>
            <c:numRef>
              <c:f>'Monthly Sales Trend'!$B$4:$B$7</c:f>
              <c:numCache>
                <c:formatCode>General</c:formatCode>
                <c:ptCount val="3"/>
                <c:pt idx="0">
                  <c:v>400000</c:v>
                </c:pt>
                <c:pt idx="1">
                  <c:v>245000</c:v>
                </c:pt>
                <c:pt idx="2">
                  <c:v>100000</c:v>
                </c:pt>
              </c:numCache>
            </c:numRef>
          </c:val>
          <c:smooth val="0"/>
          <c:extLst>
            <c:ext xmlns:c16="http://schemas.microsoft.com/office/drawing/2014/chart" uri="{C3380CC4-5D6E-409C-BE32-E72D297353CC}">
              <c16:uniqueId val="{00000000-B483-405C-85FF-A9B30023CA10}"/>
            </c:ext>
          </c:extLst>
        </c:ser>
        <c:dLbls>
          <c:showLegendKey val="0"/>
          <c:showVal val="0"/>
          <c:showCatName val="0"/>
          <c:showSerName val="0"/>
          <c:showPercent val="0"/>
          <c:showBubbleSize val="0"/>
        </c:dLbls>
        <c:smooth val="0"/>
        <c:axId val="1640692447"/>
        <c:axId val="1790907551"/>
      </c:lineChart>
      <c:catAx>
        <c:axId val="164069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907551"/>
        <c:crosses val="autoZero"/>
        <c:auto val="1"/>
        <c:lblAlgn val="ctr"/>
        <c:lblOffset val="100"/>
        <c:noMultiLvlLbl val="0"/>
      </c:catAx>
      <c:valAx>
        <c:axId val="1790907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69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[84 Business Sales Analytics Dashboard.xlsx]Category Sales!PivotTable5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2D Pie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'Category Sales'!$B$3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'Category Sales'!$A$4:$A$7</c:f>
              <c:strCache>
                <c:ptCount val="3"/>
                <c:pt idx="0">
                  <c:v>Laptop</c:v>
                </c:pt>
                <c:pt idx="1">
                  <c:v>Mobile</c:v>
                </c:pt>
                <c:pt idx="2">
                  <c:v>Tablet</c:v>
                </c:pt>
              </c:strCache>
            </c:strRef>
          </c:cat>
          <c:val>
            <c:numRef>
              <c:f>'Category Sales'!$B$4:$B$7</c:f>
              <c:numCache>
                <c:formatCode>General</c:formatCode>
                <c:ptCount val="3"/>
                <c:pt idx="0">
                  <c:v>360000</c:v>
                </c:pt>
                <c:pt idx="1">
                  <c:v>285000</c:v>
                </c:pt>
                <c:pt idx="2">
                  <c:v>100000</c:v>
                </c:pt>
              </c:numCache>
            </c:numRef>
          </c:val>
          <c:extLst>
            <c:ext xmlns:c16="http://schemas.microsoft.com/office/drawing/2014/chart" uri="{C3380CC4-5D6E-409C-BE32-E72D297353CC}">
              <c16:uniqueId val="{00000000-2A7E-4A3C-9DAB-A7AFEAA9B49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[84 Business Sales Analytics Dashboard.xlsx]Salesman Performance!PivotTable3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Salesman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'Salesman Performance'!$B$3</c:f>
              <c:strCache>
                <c:ptCount val="1"/>
                <c:pt idx="0">
                  <c:v>Total</c:v>
                </c:pt>
              </c:strCache>
            </c:strRef>
          </c:tx>
          <c:spPr>
            <a:solidFill>
              <a:schemeClr val="accent1"/>
            </a:solidFill>
            <a:ln>
              <a:noFill/>
            </a:ln>
            <a:effectLst/>
          </c:spPr>
          <c:invertIfNegative val="0"/>
          <c:cat>
            <c:strRef>
              <c:f>'Salesman Performance'!$A$4:$A$7</c:f>
              <c:strCache>
                <c:ptCount val="3"/>
                <c:pt idx="0">
                  <c:v>Sneha</c:v>
                </c:pt>
                <c:pt idx="1">
                  <c:v>Amit</c:v>
                </c:pt>
                <c:pt idx="2">
                  <c:v>Rahul</c:v>
                </c:pt>
              </c:strCache>
            </c:strRef>
          </c:cat>
          <c:val>
            <c:numRef>
              <c:f>'Salesman Performance'!$B$4:$B$7</c:f>
              <c:numCache>
                <c:formatCode>General</c:formatCode>
                <c:ptCount val="3"/>
                <c:pt idx="0">
                  <c:v>320000</c:v>
                </c:pt>
                <c:pt idx="1">
                  <c:v>245000</c:v>
                </c:pt>
                <c:pt idx="2">
                  <c:v>180000</c:v>
                </c:pt>
              </c:numCache>
            </c:numRef>
          </c:val>
          <c:extLst>
            <c:ext xmlns:c16="http://schemas.microsoft.com/office/drawing/2014/chart" uri="{C3380CC4-5D6E-409C-BE32-E72D297353CC}">
              <c16:uniqueId val="{00000000-765E-4E1A-97D1-ED00787FFAAE}"/>
            </c:ext>
          </c:extLst>
        </c:ser>
        <c:dLbls>
          <c:showLegendKey val="0"/>
          <c:showVal val="0"/>
          <c:showCatName val="0"/>
          <c:showSerName val="0"/>
          <c:showPercent val="0"/>
          <c:showBubbleSize val="0"/>
        </c:dLbls>
        <c:gapWidth val="219"/>
        <c:axId val="1798102863"/>
        <c:axId val="1798104303"/>
      </c:barChart>
      <c:catAx>
        <c:axId val="179810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104303"/>
        <c:crosses val="autoZero"/>
        <c:auto val="1"/>
        <c:lblAlgn val="ctr"/>
        <c:lblOffset val="100"/>
        <c:noMultiLvlLbl val="0"/>
      </c:catAx>
      <c:valAx>
        <c:axId val="1798104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10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[84 Business Sales Analytics Dashboard.xlsx]Monthly Sales Trend!PivotTable4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strRef>
              <c:f>'Monthly Sales Trend'!$A$4:$A$7</c:f>
              <c:strCache>
                <c:ptCount val="3"/>
                <c:pt idx="0">
                  <c:v>Jan</c:v>
                </c:pt>
                <c:pt idx="1">
                  <c:v>Feb</c:v>
                </c:pt>
                <c:pt idx="2">
                  <c:v>Mar</c:v>
                </c:pt>
              </c:strCache>
            </c:strRef>
          </c:cat>
          <c:val>
            <c:numRef>
              <c:f>'Monthly Sales Trend'!$B$4:$B$7</c:f>
              <c:numCache>
                <c:formatCode>General</c:formatCode>
                <c:ptCount val="3"/>
                <c:pt idx="0">
                  <c:v>400000</c:v>
                </c:pt>
                <c:pt idx="1">
                  <c:v>245000</c:v>
                </c:pt>
                <c:pt idx="2">
                  <c:v>100000</c:v>
                </c:pt>
              </c:numCache>
            </c:numRef>
          </c:val>
          <c:smooth val="0"/>
          <c:extLst>
            <c:ext xmlns:c16="http://schemas.microsoft.com/office/drawing/2014/chart" uri="{C3380CC4-5D6E-409C-BE32-E72D297353CC}">
              <c16:uniqueId val="{00000000-8688-4FE1-9445-556268070089}"/>
            </c:ext>
          </c:extLst>
        </c:ser>
        <c:dLbls>
          <c:showLegendKey val="0"/>
          <c:showVal val="0"/>
          <c:showCatName val="0"/>
          <c:showSerName val="0"/>
          <c:showPercent val="0"/>
          <c:showBubbleSize val="0"/>
        </c:dLbls>
        <c:smooth val="0"/>
        <c:axId val="1640692447"/>
        <c:axId val="1790907551"/>
      </c:lineChart>
      <c:catAx>
        <c:axId val="164069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907551"/>
        <c:crosses val="autoZero"/>
        <c:auto val="1"/>
        <c:lblAlgn val="ctr"/>
        <c:lblOffset val="100"/>
        <c:noMultiLvlLbl val="0"/>
      </c:catAx>
      <c:valAx>
        <c:axId val="1790907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69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[84 Business Sales Analytics Dashboard.xlsx]Category Sales!PivotTable5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2D Pie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'Category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94-416B-8CDD-D49EE2C98A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94-416B-8CDD-D49EE2C98A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94-416B-8CDD-D49EE2C98A66}"/>
              </c:ext>
            </c:extLst>
          </c:dPt>
          <c:cat>
            <c:strRef>
              <c:f>'Category Sales'!$A$4:$A$7</c:f>
              <c:strCache>
                <c:ptCount val="3"/>
                <c:pt idx="0">
                  <c:v>Laptop</c:v>
                </c:pt>
                <c:pt idx="1">
                  <c:v>Mobile</c:v>
                </c:pt>
                <c:pt idx="2">
                  <c:v>Tablet</c:v>
                </c:pt>
              </c:strCache>
            </c:strRef>
          </c:cat>
          <c:val>
            <c:numRef>
              <c:f>'Category Sales'!$B$4:$B$7</c:f>
              <c:numCache>
                <c:formatCode>General</c:formatCode>
                <c:ptCount val="3"/>
                <c:pt idx="0">
                  <c:v>360000</c:v>
                </c:pt>
                <c:pt idx="1">
                  <c:v>285000</c:v>
                </c:pt>
                <c:pt idx="2">
                  <c:v>100000</c:v>
                </c:pt>
              </c:numCache>
            </c:numRef>
          </c:val>
          <c:extLst>
            <c:ext xmlns:c16="http://schemas.microsoft.com/office/drawing/2014/chart" uri="{C3380CC4-5D6E-409C-BE32-E72D297353CC}">
              <c16:uniqueId val="{00000006-A294-416B-8CDD-D49EE2C98A6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US"/>
              <a:t>Profit Flow</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waterfall" uniqueId="{9329F13E-08D4-4094-94D8-22B96D427077}">
          <cx:tx>
            <cx:txData>
              <cx:f>_xlchart.v1.4</cx:f>
              <cx:v>Sum of profit</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57150</xdr:colOff>
      <xdr:row>1</xdr:row>
      <xdr:rowOff>79375</xdr:rowOff>
    </xdr:from>
    <xdr:to>
      <xdr:col>10</xdr:col>
      <xdr:colOff>361950</xdr:colOff>
      <xdr:row>16</xdr:row>
      <xdr:rowOff>60325</xdr:rowOff>
    </xdr:to>
    <xdr:graphicFrame macro="">
      <xdr:nvGraphicFramePr>
        <xdr:cNvPr id="2" name="Chart 1">
          <a:extLst>
            <a:ext uri="{FF2B5EF4-FFF2-40B4-BE49-F238E27FC236}">
              <a16:creationId xmlns:a16="http://schemas.microsoft.com/office/drawing/2014/main" id="{82568201-2A03-2786-0F39-21596A229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69850</xdr:colOff>
      <xdr:row>1</xdr:row>
      <xdr:rowOff>117475</xdr:rowOff>
    </xdr:from>
    <xdr:to>
      <xdr:col>10</xdr:col>
      <xdr:colOff>374650</xdr:colOff>
      <xdr:row>16</xdr:row>
      <xdr:rowOff>98425</xdr:rowOff>
    </xdr:to>
    <xdr:graphicFrame macro="">
      <xdr:nvGraphicFramePr>
        <xdr:cNvPr id="2" name="Chart 1">
          <a:extLst>
            <a:ext uri="{FF2B5EF4-FFF2-40B4-BE49-F238E27FC236}">
              <a16:creationId xmlns:a16="http://schemas.microsoft.com/office/drawing/2014/main" id="{FF86581B-6587-C94C-0064-11BE02D7D1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279400</xdr:colOff>
      <xdr:row>1</xdr:row>
      <xdr:rowOff>85725</xdr:rowOff>
    </xdr:from>
    <xdr:to>
      <xdr:col>9</xdr:col>
      <xdr:colOff>584200</xdr:colOff>
      <xdr:row>16</xdr:row>
      <xdr:rowOff>66675</xdr:rowOff>
    </xdr:to>
    <xdr:graphicFrame macro="">
      <xdr:nvGraphicFramePr>
        <xdr:cNvPr id="2" name="Chart 1">
          <a:extLst>
            <a:ext uri="{FF2B5EF4-FFF2-40B4-BE49-F238E27FC236}">
              <a16:creationId xmlns:a16="http://schemas.microsoft.com/office/drawing/2014/main" id="{13651DFE-22B0-9561-6D96-15A57D22F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327025</xdr:colOff>
      <xdr:row>3</xdr:row>
      <xdr:rowOff>47625</xdr:rowOff>
    </xdr:from>
    <xdr:to>
      <xdr:col>12</xdr:col>
      <xdr:colOff>22225</xdr:colOff>
      <xdr:row>18</xdr:row>
      <xdr:rowOff>28575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0A70805-393C-F9D2-877E-2AC03FF750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22625" y="6000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336550</xdr:colOff>
      <xdr:row>14</xdr:row>
      <xdr:rowOff>177800</xdr:rowOff>
    </xdr:from>
    <xdr:to>
      <xdr:col>10</xdr:col>
      <xdr:colOff>31750</xdr:colOff>
      <xdr:row>29</xdr:row>
      <xdr:rowOff>158750</xdr:rowOff>
    </xdr:to>
    <xdr:graphicFrame macro="">
      <xdr:nvGraphicFramePr>
        <xdr:cNvPr id="3" name="Chart 2">
          <a:extLst>
            <a:ext uri="{FF2B5EF4-FFF2-40B4-BE49-F238E27FC236}">
              <a16:creationId xmlns:a16="http://schemas.microsoft.com/office/drawing/2014/main" id="{FE9E46A1-06EE-4AFE-86AE-A65C02D44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349250</xdr:colOff>
      <xdr:row>0</xdr:row>
      <xdr:rowOff>12700</xdr:rowOff>
    </xdr:from>
    <xdr:to>
      <xdr:col>10</xdr:col>
      <xdr:colOff>44450</xdr:colOff>
      <xdr:row>14</xdr:row>
      <xdr:rowOff>177800</xdr:rowOff>
    </xdr:to>
    <xdr:graphicFrame macro="">
      <xdr:nvGraphicFramePr>
        <xdr:cNvPr id="4" name="Chart 3">
          <a:extLst>
            <a:ext uri="{FF2B5EF4-FFF2-40B4-BE49-F238E27FC236}">
              <a16:creationId xmlns:a16="http://schemas.microsoft.com/office/drawing/2014/main" id="{80FCBB62-B542-41AB-924D-33B773E3F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69850</xdr:colOff>
      <xdr:row>15</xdr:row>
      <xdr:rowOff>31750</xdr:rowOff>
    </xdr:from>
    <xdr:to>
      <xdr:col>17</xdr:col>
      <xdr:colOff>374650</xdr:colOff>
      <xdr:row>30</xdr:row>
      <xdr:rowOff>12700</xdr:rowOff>
    </xdr:to>
    <xdr:graphicFrame macro="">
      <xdr:nvGraphicFramePr>
        <xdr:cNvPr id="5" name="Chart 4">
          <a:extLst>
            <a:ext uri="{FF2B5EF4-FFF2-40B4-BE49-F238E27FC236}">
              <a16:creationId xmlns:a16="http://schemas.microsoft.com/office/drawing/2014/main" id="{1E00E29B-DA6D-45AF-944E-A8A5B51B1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50800</xdr:colOff>
      <xdr:row>0</xdr:row>
      <xdr:rowOff>19050</xdr:rowOff>
    </xdr:from>
    <xdr:to>
      <xdr:col>13</xdr:col>
      <xdr:colOff>50800</xdr:colOff>
      <xdr:row>14</xdr:row>
      <xdr:rowOff>60322</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2966FBD6-9747-289E-15E9-E3EEE53F895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889750" y="190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82550</xdr:colOff>
      <xdr:row>0</xdr:row>
      <xdr:rowOff>57150</xdr:rowOff>
    </xdr:from>
    <xdr:to>
      <xdr:col>16</xdr:col>
      <xdr:colOff>82550</xdr:colOff>
      <xdr:row>14</xdr:row>
      <xdr:rowOff>98422</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E7C454B2-418F-0B2B-FB46-5CDBEFCEB5B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750300" y="571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95250</xdr:colOff>
      <xdr:row>0</xdr:row>
      <xdr:rowOff>63500</xdr:rowOff>
    </xdr:from>
    <xdr:to>
      <xdr:col>22</xdr:col>
      <xdr:colOff>95250</xdr:colOff>
      <xdr:row>14</xdr:row>
      <xdr:rowOff>104772</xdr:rowOff>
    </xdr:to>
    <mc:AlternateContent xmlns:mc="http://schemas.openxmlformats.org/markup-compatibility/2006">
      <mc:Choice xmlns:a14="http://schemas.microsoft.com/office/drawing/2010/main" Requires="a14">
        <xdr:graphicFrame macro="">
          <xdr:nvGraphicFramePr>
            <xdr:cNvPr id="8" name="Salesman">
              <a:extLst>
                <a:ext uri="{FF2B5EF4-FFF2-40B4-BE49-F238E27FC236}">
                  <a16:creationId xmlns:a16="http://schemas.microsoft.com/office/drawing/2014/main" id="{1F28C46B-5144-1236-BD65-78ED353BE92A}"/>
                </a:ext>
              </a:extLst>
            </xdr:cNvPr>
            <xdr:cNvGraphicFramePr/>
          </xdr:nvGraphicFramePr>
          <xdr:xfrm>
            <a:off x="0" y="0"/>
            <a:ext cx="0" cy="0"/>
          </xdr:xfrm>
          <a:graphic>
            <a:graphicData uri="http://schemas.microsoft.com/office/drawing/2010/slicer">
              <sle:slicer xmlns:sle="http://schemas.microsoft.com/office/drawing/2010/slicer" name="Salesman"/>
            </a:graphicData>
          </a:graphic>
        </xdr:graphicFrame>
      </mc:Choice>
      <mc:Fallback>
        <xdr:sp macro="" textlink="">
          <xdr:nvSpPr>
            <xdr:cNvPr id="0" name=""/>
            <xdr:cNvSpPr>
              <a:spLocks noTextEdit="1"/>
            </xdr:cNvSpPr>
          </xdr:nvSpPr>
          <xdr:spPr>
            <a:xfrm>
              <a:off x="12420600" y="63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88900</xdr:colOff>
      <xdr:row>0</xdr:row>
      <xdr:rowOff>76200</xdr:rowOff>
    </xdr:from>
    <xdr:to>
      <xdr:col>19</xdr:col>
      <xdr:colOff>88900</xdr:colOff>
      <xdr:row>14</xdr:row>
      <xdr:rowOff>117472</xdr:rowOff>
    </xdr:to>
    <mc:AlternateContent xmlns:mc="http://schemas.openxmlformats.org/markup-compatibility/2006">
      <mc:Choice xmlns:a14="http://schemas.microsoft.com/office/drawing/2010/main" Requires="a14">
        <xdr:graphicFrame macro="">
          <xdr:nvGraphicFramePr>
            <xdr:cNvPr id="9" name="Month Extraction">
              <a:extLst>
                <a:ext uri="{FF2B5EF4-FFF2-40B4-BE49-F238E27FC236}">
                  <a16:creationId xmlns:a16="http://schemas.microsoft.com/office/drawing/2014/main" id="{BEC261E1-CC66-E5C4-03BC-A3A8A9A0E642}"/>
                </a:ext>
              </a:extLst>
            </xdr:cNvPr>
            <xdr:cNvGraphicFramePr/>
          </xdr:nvGraphicFramePr>
          <xdr:xfrm>
            <a:off x="0" y="0"/>
            <a:ext cx="0" cy="0"/>
          </xdr:xfrm>
          <a:graphic>
            <a:graphicData uri="http://schemas.microsoft.com/office/drawing/2010/slicer">
              <sle:slicer xmlns:sle="http://schemas.microsoft.com/office/drawing/2010/slicer" name="Month Extraction"/>
            </a:graphicData>
          </a:graphic>
        </xdr:graphicFrame>
      </mc:Choice>
      <mc:Fallback>
        <xdr:sp macro="" textlink="">
          <xdr:nvSpPr>
            <xdr:cNvPr id="0" name=""/>
            <xdr:cNvSpPr>
              <a:spLocks noTextEdit="1"/>
            </xdr:cNvSpPr>
          </xdr:nvSpPr>
          <xdr:spPr>
            <a:xfrm>
              <a:off x="10585450" y="76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rithik" refreshedDate="46089.717916319445" createdVersion="8" refreshedVersion="8" minRefreshableVersion="3" recordCount="25" xr:uid="{AA5CCF2C-3BA0-4AF6-9FB4-DD5594F1A035}">
  <cacheSource type="worksheet">
    <worksheetSource name="Table1"/>
  </cacheSource>
  <cacheFields count="14">
    <cacheField name="Order_ID" numFmtId="0">
      <sharedItems/>
    </cacheField>
    <cacheField name="region" numFmtId="0">
      <sharedItems count="4">
        <s v="North"/>
        <s v="South"/>
        <s v="West"/>
        <s v="East"/>
      </sharedItems>
    </cacheField>
    <cacheField name="category" numFmtId="0">
      <sharedItems count="3">
        <s v="Mobile"/>
        <s v="Laptop"/>
        <s v="Tablet"/>
      </sharedItems>
    </cacheField>
    <cacheField name="Customer_ID" numFmtId="0">
      <sharedItems/>
    </cacheField>
    <cacheField name="Product" numFmtId="0">
      <sharedItems count="8">
        <s v="iPhone 13"/>
        <s v="Dell XPS"/>
        <s v="iPad Air"/>
        <s v="Samsung S23"/>
        <s v="HP Spectre"/>
        <s v="OnePlus 11"/>
        <s v="MacBook Air"/>
        <s v="Lenovo Tab"/>
      </sharedItems>
    </cacheField>
    <cacheField name="Salesman" numFmtId="0">
      <sharedItems count="3">
        <s v="Rahul"/>
        <s v="Amit"/>
        <s v="Sneha"/>
      </sharedItems>
    </cacheField>
    <cacheField name="Quantity" numFmtId="0">
      <sharedItems containsSemiMixedTypes="0" containsString="0" containsNumber="1" containsInteger="1" minValue="1" maxValue="4"/>
    </cacheField>
    <cacheField name="Order_Date" numFmtId="14">
      <sharedItems containsSemiMixedTypes="0" containsNonDate="0" containsDate="1" containsString="0" minDate="2024-01-12T00:00:00" maxDate="2024-03-21T00:00:00"/>
    </cacheField>
    <cacheField name="Status" numFmtId="0">
      <sharedItems/>
    </cacheField>
    <cacheField name="price" numFmtId="0">
      <sharedItems containsSemiMixedTypes="0" containsString="0" containsNumber="1" containsInteger="1" minValue="25000" maxValue="110000"/>
    </cacheField>
    <cacheField name="total sales" numFmtId="0">
      <sharedItems containsSemiMixedTypes="0" containsString="0" containsNumber="1" containsInteger="1" minValue="50000" maxValue="220000"/>
    </cacheField>
    <cacheField name="bonus" numFmtId="0">
      <sharedItems/>
    </cacheField>
    <cacheField name="Month Extraction" numFmtId="0">
      <sharedItems count="3">
        <s v="Jan"/>
        <s v="Feb"/>
        <s v="Mar"/>
      </sharedItems>
    </cacheField>
    <cacheField name="profit" numFmtId="0">
      <sharedItems containsSemiMixedTypes="0" containsString="0" containsNumber="1" containsInteger="1" minValue="10000" maxValue="44000"/>
    </cacheField>
  </cacheFields>
  <extLst>
    <ext xmlns:x14="http://schemas.microsoft.com/office/spreadsheetml/2009/9/main" uri="{725AE2AE-9491-48be-B2B4-4EB974FC3084}">
      <x14:pivotCacheDefinition pivotCacheId="20426830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s v="ORD101"/>
    <x v="0"/>
    <x v="0"/>
    <s v="C101"/>
    <x v="0"/>
    <x v="0"/>
    <n v="2"/>
    <d v="2024-01-12T00:00:00"/>
    <s v="Delivered"/>
    <n v="70000"/>
    <n v="140000"/>
    <s v="Bonus"/>
    <x v="0"/>
    <n v="28000"/>
  </r>
  <r>
    <s v="ORD121"/>
    <x v="0"/>
    <x v="0"/>
    <s v="C101"/>
    <x v="0"/>
    <x v="0"/>
    <n v="2"/>
    <d v="2024-01-12T00:00:00"/>
    <s v="Delivered"/>
    <n v="70000"/>
    <n v="140000"/>
    <s v="Bonus"/>
    <x v="0"/>
    <n v="28000"/>
  </r>
  <r>
    <s v="ORD102"/>
    <x v="1"/>
    <x v="1"/>
    <s v="C102"/>
    <x v="1"/>
    <x v="1"/>
    <n v="1"/>
    <d v="2024-01-15T00:00:00"/>
    <s v="Delivered"/>
    <n v="90000"/>
    <n v="90000"/>
    <s v="No Bonus"/>
    <x v="0"/>
    <n v="18000"/>
  </r>
  <r>
    <s v="ORD122"/>
    <x v="1"/>
    <x v="1"/>
    <s v="C102"/>
    <x v="1"/>
    <x v="1"/>
    <n v="1"/>
    <d v="2024-01-15T00:00:00"/>
    <s v="Delivered"/>
    <n v="90000"/>
    <n v="90000"/>
    <s v="No Bonus"/>
    <x v="0"/>
    <n v="18000"/>
  </r>
  <r>
    <s v="ORD103"/>
    <x v="2"/>
    <x v="2"/>
    <s v="C103"/>
    <x v="2"/>
    <x v="2"/>
    <n v="3"/>
    <d v="2024-01-18T00:00:00"/>
    <s v="Pending"/>
    <n v="60000"/>
    <n v="180000"/>
    <s v="No Bonus"/>
    <x v="0"/>
    <n v="36000"/>
  </r>
  <r>
    <s v="ORD123"/>
    <x v="2"/>
    <x v="2"/>
    <s v="C103"/>
    <x v="2"/>
    <x v="2"/>
    <n v="3"/>
    <d v="2024-01-18T00:00:00"/>
    <s v="Pending"/>
    <n v="60000"/>
    <n v="180000"/>
    <s v="No Bonus"/>
    <x v="0"/>
    <n v="36000"/>
  </r>
  <r>
    <s v="ORD104"/>
    <x v="3"/>
    <x v="0"/>
    <s v="C104"/>
    <x v="3"/>
    <x v="0"/>
    <n v="2"/>
    <d v="2024-01-20T00:00:00"/>
    <s v="Delivered"/>
    <n v="65000"/>
    <n v="130000"/>
    <s v="Bonus"/>
    <x v="0"/>
    <n v="26000"/>
  </r>
  <r>
    <s v="ORD124"/>
    <x v="3"/>
    <x v="0"/>
    <s v="C104"/>
    <x v="3"/>
    <x v="0"/>
    <n v="2"/>
    <d v="2024-01-20T00:00:00"/>
    <s v="Delivered"/>
    <n v="65000"/>
    <n v="130000"/>
    <s v="Bonus"/>
    <x v="0"/>
    <n v="26000"/>
  </r>
  <r>
    <s v="ORD105"/>
    <x v="0"/>
    <x v="1"/>
    <s v="C105"/>
    <x v="4"/>
    <x v="1"/>
    <n v="1"/>
    <d v="2024-01-22T00:00:00"/>
    <s v="Cancelled"/>
    <n v="95000"/>
    <n v="95000"/>
    <s v="No Bonus"/>
    <x v="0"/>
    <n v="19000"/>
  </r>
  <r>
    <s v="ORD125"/>
    <x v="0"/>
    <x v="1"/>
    <s v="C105"/>
    <x v="4"/>
    <x v="1"/>
    <n v="1"/>
    <d v="2024-01-22T00:00:00"/>
    <s v="Cancelled"/>
    <n v="95000"/>
    <n v="95000"/>
    <s v="No Bonus"/>
    <x v="0"/>
    <n v="19000"/>
  </r>
  <r>
    <s v="ORD106"/>
    <x v="1"/>
    <x v="0"/>
    <s v="C106"/>
    <x v="5"/>
    <x v="2"/>
    <n v="4"/>
    <d v="2024-01-25T00:00:00"/>
    <s v="Delivered"/>
    <n v="55000"/>
    <n v="220000"/>
    <s v="Bonus"/>
    <x v="0"/>
    <n v="44000"/>
  </r>
  <r>
    <s v="ORD107"/>
    <x v="2"/>
    <x v="1"/>
    <s v="C107"/>
    <x v="6"/>
    <x v="0"/>
    <n v="1"/>
    <d v="2024-01-28T00:00:00"/>
    <s v="Delivered"/>
    <n v="110000"/>
    <n v="110000"/>
    <s v="Bonus"/>
    <x v="0"/>
    <n v="22000"/>
  </r>
  <r>
    <s v="ORD108"/>
    <x v="3"/>
    <x v="2"/>
    <s v="C108"/>
    <x v="7"/>
    <x v="1"/>
    <n v="2"/>
    <d v="2024-02-01T00:00:00"/>
    <s v="Pending"/>
    <n v="25000"/>
    <n v="50000"/>
    <s v="No Bonus"/>
    <x v="1"/>
    <n v="10000"/>
  </r>
  <r>
    <s v="ORD109"/>
    <x v="0"/>
    <x v="0"/>
    <s v="C109"/>
    <x v="0"/>
    <x v="2"/>
    <n v="1"/>
    <d v="2024-02-05T00:00:00"/>
    <s v="Delivered"/>
    <n v="70000"/>
    <n v="70000"/>
    <s v="No Bonus"/>
    <x v="1"/>
    <n v="14000"/>
  </r>
  <r>
    <s v="ORD110"/>
    <x v="1"/>
    <x v="1"/>
    <s v="C110"/>
    <x v="1"/>
    <x v="0"/>
    <n v="2"/>
    <d v="2024-02-08T00:00:00"/>
    <s v="Delivered"/>
    <n v="90000"/>
    <n v="180000"/>
    <s v="Bonus"/>
    <x v="1"/>
    <n v="36000"/>
  </r>
  <r>
    <s v="ORD111"/>
    <x v="2"/>
    <x v="0"/>
    <s v="C111"/>
    <x v="5"/>
    <x v="1"/>
    <n v="3"/>
    <d v="2024-02-10T00:00:00"/>
    <s v="Delivered"/>
    <n v="55000"/>
    <n v="165000"/>
    <s v="Bonus"/>
    <x v="1"/>
    <n v="33000"/>
  </r>
  <r>
    <s v="ORD112"/>
    <x v="3"/>
    <x v="1"/>
    <s v="C112"/>
    <x v="4"/>
    <x v="2"/>
    <n v="1"/>
    <d v="2024-02-14T00:00:00"/>
    <s v="Delivered"/>
    <n v="95000"/>
    <n v="95000"/>
    <s v="No Bonus"/>
    <x v="1"/>
    <n v="19000"/>
  </r>
  <r>
    <s v="ORD113"/>
    <x v="0"/>
    <x v="2"/>
    <s v="C113"/>
    <x v="2"/>
    <x v="0"/>
    <n v="2"/>
    <d v="2024-02-18T00:00:00"/>
    <s v="Pending"/>
    <n v="60000"/>
    <n v="120000"/>
    <s v="No Bonus"/>
    <x v="1"/>
    <n v="24000"/>
  </r>
  <r>
    <s v="ORD114"/>
    <x v="1"/>
    <x v="0"/>
    <s v="C114"/>
    <x v="3"/>
    <x v="1"/>
    <n v="1"/>
    <d v="2024-02-20T00:00:00"/>
    <s v="Delivered"/>
    <n v="65000"/>
    <n v="65000"/>
    <s v="No Bonus"/>
    <x v="1"/>
    <n v="13000"/>
  </r>
  <r>
    <s v="ORD115"/>
    <x v="2"/>
    <x v="1"/>
    <s v="C115"/>
    <x v="6"/>
    <x v="2"/>
    <n v="2"/>
    <d v="2024-02-25T00:00:00"/>
    <s v="Delivered"/>
    <n v="110000"/>
    <n v="220000"/>
    <s v="Bonus"/>
    <x v="1"/>
    <n v="44000"/>
  </r>
  <r>
    <s v="ORD116"/>
    <x v="3"/>
    <x v="0"/>
    <s v="C116"/>
    <x v="0"/>
    <x v="0"/>
    <n v="3"/>
    <d v="2024-03-01T00:00:00"/>
    <s v="Delivered"/>
    <n v="70000"/>
    <n v="210000"/>
    <s v="Bonus"/>
    <x v="2"/>
    <n v="42000"/>
  </r>
  <r>
    <s v="ORD117"/>
    <x v="0"/>
    <x v="1"/>
    <s v="C117"/>
    <x v="1"/>
    <x v="1"/>
    <n v="1"/>
    <d v="2024-03-05T00:00:00"/>
    <s v="Pending"/>
    <n v="90000"/>
    <n v="90000"/>
    <s v="No Bonus"/>
    <x v="2"/>
    <n v="18000"/>
  </r>
  <r>
    <s v="ORD118"/>
    <x v="1"/>
    <x v="2"/>
    <s v="C118"/>
    <x v="7"/>
    <x v="2"/>
    <n v="4"/>
    <d v="2024-03-10T00:00:00"/>
    <s v="Delivered"/>
    <n v="25000"/>
    <n v="100000"/>
    <s v="No Bonus"/>
    <x v="2"/>
    <n v="20000"/>
  </r>
  <r>
    <s v="ORD119"/>
    <x v="2"/>
    <x v="0"/>
    <s v="C119"/>
    <x v="5"/>
    <x v="0"/>
    <n v="2"/>
    <d v="2024-03-15T00:00:00"/>
    <s v="Delivered"/>
    <n v="55000"/>
    <n v="110000"/>
    <s v="Bonus"/>
    <x v="2"/>
    <n v="22000"/>
  </r>
  <r>
    <s v="ORD120"/>
    <x v="3"/>
    <x v="1"/>
    <s v="C120"/>
    <x v="4"/>
    <x v="1"/>
    <n v="1"/>
    <d v="2024-03-20T00:00:00"/>
    <s v="Delivered"/>
    <n v="95000"/>
    <n v="95000"/>
    <s v="No Bonus"/>
    <x v="2"/>
    <n v="19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9F7463-8204-4F5A-AA10-758BE0368ACD}" name="PivotTable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pivotFields count="14">
    <pivotField showAll="0"/>
    <pivotField axis="axisRow" showAll="0">
      <items count="5">
        <item h="1" x="3"/>
        <item h="1" x="0"/>
        <item x="1"/>
        <item h="1" x="2"/>
        <item t="default"/>
      </items>
    </pivotField>
    <pivotField axis="axisRow" showAll="0">
      <items count="4">
        <item x="1"/>
        <item x="0"/>
        <item x="2"/>
        <item t="default"/>
      </items>
    </pivotField>
    <pivotField showAll="0"/>
    <pivotField showAll="0"/>
    <pivotField showAll="0"/>
    <pivotField showAll="0"/>
    <pivotField numFmtId="14" showAll="0"/>
    <pivotField showAll="0"/>
    <pivotField showAll="0"/>
    <pivotField dataField="1" showAll="0"/>
    <pivotField showAll="0"/>
    <pivotField axis="axisCol" showAll="0">
      <items count="4">
        <item x="0"/>
        <item x="1"/>
        <item x="2"/>
        <item t="default"/>
      </items>
    </pivotField>
    <pivotField showAll="0"/>
  </pivotFields>
  <rowFields count="2">
    <field x="1"/>
    <field x="2"/>
  </rowFields>
  <rowItems count="5">
    <i>
      <x v="2"/>
    </i>
    <i r="1">
      <x/>
    </i>
    <i r="1">
      <x v="1"/>
    </i>
    <i r="1">
      <x v="2"/>
    </i>
    <i t="grand">
      <x/>
    </i>
  </rowItems>
  <colFields count="1">
    <field x="12"/>
  </colFields>
  <colItems count="4">
    <i>
      <x/>
    </i>
    <i>
      <x v="1"/>
    </i>
    <i>
      <x v="2"/>
    </i>
    <i t="grand">
      <x/>
    </i>
  </colItems>
  <dataFields count="1">
    <dataField name="Sum of total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C02E3A-5158-4587-B05F-31B3B719A8FE}" name="PivotTable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4">
    <pivotField showAll="0"/>
    <pivotField showAll="0">
      <items count="5">
        <item h="1" x="3"/>
        <item h="1" x="0"/>
        <item x="1"/>
        <item h="1" x="2"/>
        <item t="default"/>
      </items>
    </pivotField>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dataField="1" showAll="0"/>
    <pivotField showAll="0"/>
    <pivotField showAll="0"/>
    <pivotField showAll="0"/>
  </pivotFields>
  <rowFields count="1">
    <field x="5"/>
  </rowFields>
  <rowItems count="4">
    <i>
      <x v="2"/>
    </i>
    <i>
      <x/>
    </i>
    <i>
      <x v="1"/>
    </i>
    <i t="grand">
      <x/>
    </i>
  </rowItems>
  <colItems count="1">
    <i/>
  </colItems>
  <dataFields count="1">
    <dataField name="Sum of total sales" fld="10"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96D898-5908-4246-8D2E-D9CEA6C53CF8}" name="PivotTable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4">
    <pivotField showAll="0"/>
    <pivotField showAll="0">
      <items count="5">
        <item h="1" x="3"/>
        <item h="1" x="0"/>
        <item x="1"/>
        <item h="1" x="2"/>
        <item t="default"/>
      </items>
    </pivotField>
    <pivotField showAll="0"/>
    <pivotField showAll="0"/>
    <pivotField showAll="0"/>
    <pivotField showAll="0"/>
    <pivotField showAll="0"/>
    <pivotField numFmtId="14" showAll="0"/>
    <pivotField showAll="0"/>
    <pivotField showAll="0"/>
    <pivotField dataField="1" showAll="0"/>
    <pivotField showAll="0"/>
    <pivotField axis="axisRow" showAll="0">
      <items count="4">
        <item x="0"/>
        <item x="1"/>
        <item x="2"/>
        <item t="default"/>
      </items>
    </pivotField>
    <pivotField showAll="0"/>
  </pivotFields>
  <rowFields count="1">
    <field x="12"/>
  </rowFields>
  <rowItems count="4">
    <i>
      <x/>
    </i>
    <i>
      <x v="1"/>
    </i>
    <i>
      <x v="2"/>
    </i>
    <i t="grand">
      <x/>
    </i>
  </rowItems>
  <colItems count="1">
    <i/>
  </colItems>
  <dataFields count="1">
    <dataField name="Sum of total sales" fld="1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282E2B-DF53-4759-AC28-571EEE585579}" name="PivotTable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4">
    <pivotField showAll="0"/>
    <pivotField showAll="0">
      <items count="5">
        <item h="1" x="3"/>
        <item h="1" x="0"/>
        <item x="1"/>
        <item h="1" x="2"/>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showAll="0"/>
    <pivotField showAll="0"/>
    <pivotField dataField="1" showAll="0"/>
    <pivotField showAll="0"/>
    <pivotField showAll="0"/>
    <pivotField showAll="0"/>
  </pivotFields>
  <rowFields count="1">
    <field x="2"/>
  </rowFields>
  <rowItems count="4">
    <i>
      <x/>
    </i>
    <i>
      <x v="1"/>
    </i>
    <i>
      <x v="2"/>
    </i>
    <i t="grand">
      <x/>
    </i>
  </rowItems>
  <colItems count="1">
    <i/>
  </colItems>
  <dataFields count="1">
    <dataField name="Sum of total sales" fld="10" baseField="0" baseItem="0"/>
  </dataFields>
  <chartFormats count="5">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3CC527-FC50-4E32-AAC5-8FC40B76AABE}" name="PivotTable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4">
    <pivotField showAll="0"/>
    <pivotField showAll="0">
      <items count="5">
        <item h="1" x="3"/>
        <item h="1" x="0"/>
        <item x="1"/>
        <item h="1" x="2"/>
        <item t="default"/>
      </items>
    </pivotField>
    <pivotField showAll="0"/>
    <pivotField showAll="0"/>
    <pivotField showAll="0"/>
    <pivotField showAll="0"/>
    <pivotField showAll="0"/>
    <pivotField numFmtId="14"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dataField="1" showAll="0"/>
  </pivotFields>
  <rowFields count="1">
    <field x="12"/>
  </rowFields>
  <rowItems count="4">
    <i>
      <x/>
    </i>
    <i>
      <x v="1"/>
    </i>
    <i>
      <x v="2"/>
    </i>
    <i t="grand">
      <x/>
    </i>
  </rowItems>
  <colItems count="1">
    <i/>
  </colItems>
  <dataFields count="1">
    <dataField name="Sum of profi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288984-6A30-4358-91E5-EB5BBD9E39B9}" name="PivotTable9"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10:X27" firstHeaderRow="1" firstDataRow="1" firstDataCol="0"/>
  <pivotFields count="14">
    <pivotField showAll="0"/>
    <pivotField showAll="0">
      <items count="5">
        <item h="1" x="3"/>
        <item h="1" x="0"/>
        <item x="1"/>
        <item h="1" x="2"/>
        <item t="default"/>
      </items>
    </pivotField>
    <pivotField showAll="0">
      <items count="4">
        <item h="1" x="1"/>
        <item h="1" x="0"/>
        <item x="2"/>
        <item t="default"/>
      </items>
    </pivotField>
    <pivotField showAll="0"/>
    <pivotField showAll="0"/>
    <pivotField showAll="0">
      <items count="4">
        <item x="1"/>
        <item x="0"/>
        <item x="2"/>
        <item t="default"/>
      </items>
    </pivotField>
    <pivotField showAll="0"/>
    <pivotField numFmtId="14" showAll="0"/>
    <pivotField showAll="0"/>
    <pivotField showAll="0"/>
    <pivotField showAll="0"/>
    <pivotField showAll="0"/>
    <pivotField showAll="0">
      <items count="4">
        <item x="0"/>
        <item x="1"/>
        <item x="2"/>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4AFC88-DFF8-431B-86F7-E9E39136C19B}" name="PivotTable8"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6" firstHeaderRow="1" firstDataRow="2" firstDataCol="1"/>
  <pivotFields count="14">
    <pivotField showAll="0"/>
    <pivotField axis="axisRow" showAll="0">
      <items count="5">
        <item h="1" x="3"/>
        <item h="1" x="0"/>
        <item x="1"/>
        <item h="1" x="2"/>
        <item t="default"/>
      </items>
    </pivotField>
    <pivotField showAll="0"/>
    <pivotField showAll="0"/>
    <pivotField showAll="0"/>
    <pivotField showAll="0"/>
    <pivotField showAll="0"/>
    <pivotField numFmtId="14" showAll="0"/>
    <pivotField showAll="0"/>
    <pivotField showAll="0"/>
    <pivotField dataField="1" showAll="0"/>
    <pivotField showAll="0"/>
    <pivotField axis="axisCol" showAll="0">
      <items count="4">
        <item x="0"/>
        <item x="1"/>
        <item x="2"/>
        <item t="default"/>
      </items>
    </pivotField>
    <pivotField showAll="0"/>
  </pivotFields>
  <rowFields count="1">
    <field x="1"/>
  </rowFields>
  <rowItems count="2">
    <i>
      <x v="2"/>
    </i>
    <i t="grand">
      <x/>
    </i>
  </rowItems>
  <colFields count="1">
    <field x="12"/>
  </colFields>
  <colItems count="4">
    <i>
      <x/>
    </i>
    <i>
      <x v="1"/>
    </i>
    <i>
      <x v="2"/>
    </i>
    <i t="grand">
      <x/>
    </i>
  </colItems>
  <dataFields count="1">
    <dataField name="Sum of total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2C16B29-0680-4255-8EEF-2A17275A74EB}" sourceName="region">
  <pivotTables>
    <pivotTable tabId="13" name="PivotTable9"/>
    <pivotTable tabId="11" name="PivotTable5"/>
    <pivotTable tabId="10" name="PivotTable4"/>
    <pivotTable tabId="8" name="PivotTable2"/>
    <pivotTable tabId="12" name="PivotTable6"/>
    <pivotTable tabId="9" name="PivotTable3"/>
    <pivotTable tabId="14" name="PivotTable8"/>
  </pivotTables>
  <data>
    <tabular pivotCacheId="2042683098">
      <items count="4">
        <i x="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8E1B081-5E3E-4754-A11E-5F65836224A3}" sourceName="category">
  <pivotTables>
    <pivotTable tabId="13" name="PivotTable9"/>
  </pivotTables>
  <data>
    <tabular pivotCacheId="2042683098">
      <items count="3">
        <i x="1"/>
        <i x="0"/>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an" xr10:uid="{89A941EF-F018-409A-A6F6-E9E9D045A339}" sourceName="Salesman">
  <pivotTables>
    <pivotTable tabId="13" name="PivotTable9"/>
  </pivotTables>
  <data>
    <tabular pivotCacheId="2042683098">
      <items count="3">
        <i x="2" s="1"/>
        <i x="1" s="1" nd="1"/>
        <i x="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Extraction" xr10:uid="{EE855319-59B9-4DF6-84B7-D0FB46C959DE}" sourceName="Month Extraction">
  <pivotTables>
    <pivotTable tabId="13" name="PivotTable9"/>
  </pivotTables>
  <data>
    <tabular pivotCacheId="2042683098">
      <items count="3">
        <i x="2" s="1"/>
        <i x="0" s="1" nd="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0F2DDBE-697A-4C6B-8DD8-1B0A95A30F47}" cache="Slicer_region" caption="region" rowHeight="251883"/>
  <slicer name="category" xr10:uid="{038F757D-08BF-43CC-B5C1-078C9CF4A0C2}" cache="Slicer_category" caption="category" rowHeight="251883"/>
  <slicer name="Salesman" xr10:uid="{791D3883-A30E-44BC-9D2C-00007AB8C154}" cache="Slicer_Salesman" caption="Salesman" rowHeight="251883"/>
  <slicer name="Month Extraction" xr10:uid="{F2C30FF9-F39A-465A-B1CB-364EA48AD54F}" cache="Slicer_Month_Extraction" caption="Month Extraction"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4E1725-38E5-4E0A-8613-42EFD8EE8783}" name="Table2" displayName="Table2" ref="A1:B5" totalsRowShown="0" headerRowDxfId="1" dataDxfId="2">
  <autoFilter ref="A1:B5" xr:uid="{094E1725-38E5-4E0A-8613-42EFD8EE8783}"/>
  <tableColumns count="2">
    <tableColumn id="1" xr3:uid="{89C2A038-B184-4B4C-97D9-B707518789A8}" name="KPI" dataDxfId="3"/>
    <tableColumn id="2" xr3:uid="{554921F1-CD2C-451D-BB77-9C5DC9C68016}" name="Value"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7AB380-307D-4C67-AC2D-28477B500FF2}" name="Table1" displayName="Table1" ref="A1:N26" totalsRowShown="0" headerRowDxfId="5">
  <autoFilter ref="A1:N26" xr:uid="{987AB380-307D-4C67-AC2D-28477B500FF2}"/>
  <tableColumns count="14">
    <tableColumn id="1" xr3:uid="{76AA86F7-F91C-427F-A62D-A279725B175B}" name="Order_ID"/>
    <tableColumn id="2" xr3:uid="{E9BF972E-541C-459A-B1D4-6B7DCE839C7A}" name="region"/>
    <tableColumn id="3" xr3:uid="{7F1FCCE8-7BA3-4EEA-BC8E-C260D56754A9}" name="category"/>
    <tableColumn id="4" xr3:uid="{EA614E86-6F0C-45A5-A37F-1420794A8983}" name="Customer_ID"/>
    <tableColumn id="5" xr3:uid="{6207AEB5-A1AD-424D-BE89-F8C1BB739CCD}" name="Product"/>
    <tableColumn id="6" xr3:uid="{8D805A91-0F92-4CD0-870D-10FE6A704B13}" name="Salesman"/>
    <tableColumn id="7" xr3:uid="{0AB81DBF-BE94-4052-BD07-0F927C3EC86D}" name="Quantity"/>
    <tableColumn id="8" xr3:uid="{F1CFEA99-88E9-49FB-B1D5-22AD910AFF70}" name="Order_Date" dataDxfId="6"/>
    <tableColumn id="9" xr3:uid="{3C3B420F-D6C0-44C9-87AB-1D084455C091}" name="Status"/>
    <tableColumn id="10" xr3:uid="{E0F7EB2C-67A6-474C-AC3F-8C6B29048692}" name="price">
      <calculatedColumnFormula>_xlfn.XLOOKUP(E2,'Price List'!$A$1:$A$9,'Price List'!$B$1:$B$9,"no match",0)</calculatedColumnFormula>
    </tableColumn>
    <tableColumn id="11" xr3:uid="{F55ED261-ADBA-4779-81F2-5CE4C54D6601}" name="total sales">
      <calculatedColumnFormula>G2*J2</calculatedColumnFormula>
    </tableColumn>
    <tableColumn id="12" xr3:uid="{81E81AE0-6D08-4CD4-A161-6BC4D5D12434}" name="bonus">
      <calculatedColumnFormula>IF(AND(K2&gt;100000,I2="Delivered"),"Bonus","No Bonus")</calculatedColumnFormula>
    </tableColumn>
    <tableColumn id="13" xr3:uid="{13D19EBB-0A51-4FE4-8A9C-981B0A247371}" name="Month Extraction">
      <calculatedColumnFormula>TEXT(H2,"MMM")</calculatedColumnFormula>
    </tableColumn>
    <tableColumn id="14" xr3:uid="{D61BA071-107E-405E-AC80-0F735C83659F}" name="profit" dataDxfId="4">
      <calculatedColumnFormula>Table1[[#This Row],[total sales]]*20%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6.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2CBF1-1804-47F3-8B72-7042CA13CF40}">
  <dimension ref="A3:E9"/>
  <sheetViews>
    <sheetView workbookViewId="0">
      <selection activeCell="C30" sqref="C30"/>
    </sheetView>
  </sheetViews>
  <sheetFormatPr defaultRowHeight="14.5" x14ac:dyDescent="0.35"/>
  <cols>
    <col min="1" max="2" width="15.6328125" bestFit="1" customWidth="1"/>
    <col min="3" max="4" width="6.81640625" bestFit="1" customWidth="1"/>
    <col min="5" max="5" width="10.36328125" bestFit="1" customWidth="1"/>
  </cols>
  <sheetData>
    <row r="3" spans="1:5" x14ac:dyDescent="0.35">
      <c r="A3" s="12" t="s">
        <v>117</v>
      </c>
      <c r="B3" s="12" t="s">
        <v>121</v>
      </c>
    </row>
    <row r="4" spans="1:5" x14ac:dyDescent="0.35">
      <c r="A4" s="12" t="s">
        <v>115</v>
      </c>
      <c r="B4" t="s">
        <v>118</v>
      </c>
      <c r="C4" t="s">
        <v>119</v>
      </c>
      <c r="D4" t="s">
        <v>120</v>
      </c>
      <c r="E4" t="s">
        <v>116</v>
      </c>
    </row>
    <row r="5" spans="1:5" x14ac:dyDescent="0.35">
      <c r="A5" s="13" t="s">
        <v>47</v>
      </c>
      <c r="B5" s="14">
        <v>400000</v>
      </c>
      <c r="C5" s="14">
        <v>245000</v>
      </c>
      <c r="D5" s="14">
        <v>100000</v>
      </c>
      <c r="E5" s="14">
        <v>745000</v>
      </c>
    </row>
    <row r="6" spans="1:5" x14ac:dyDescent="0.35">
      <c r="A6" s="15" t="s">
        <v>48</v>
      </c>
      <c r="B6" s="14">
        <v>180000</v>
      </c>
      <c r="C6" s="14">
        <v>180000</v>
      </c>
      <c r="D6" s="14"/>
      <c r="E6" s="14">
        <v>360000</v>
      </c>
    </row>
    <row r="7" spans="1:5" x14ac:dyDescent="0.35">
      <c r="A7" s="15" t="s">
        <v>45</v>
      </c>
      <c r="B7" s="14">
        <v>220000</v>
      </c>
      <c r="C7" s="14">
        <v>65000</v>
      </c>
      <c r="D7" s="14"/>
      <c r="E7" s="14">
        <v>285000</v>
      </c>
    </row>
    <row r="8" spans="1:5" x14ac:dyDescent="0.35">
      <c r="A8" s="15" t="s">
        <v>51</v>
      </c>
      <c r="B8" s="14"/>
      <c r="C8" s="14"/>
      <c r="D8" s="14">
        <v>100000</v>
      </c>
      <c r="E8" s="14">
        <v>100000</v>
      </c>
    </row>
    <row r="9" spans="1:5" x14ac:dyDescent="0.35">
      <c r="A9" s="13" t="s">
        <v>116</v>
      </c>
      <c r="B9" s="14">
        <v>400000</v>
      </c>
      <c r="C9" s="14">
        <v>245000</v>
      </c>
      <c r="D9" s="14">
        <v>100000</v>
      </c>
      <c r="E9" s="14">
        <v>745000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AB0DF-959D-401E-96D7-80ACF2C0DE1D}">
  <dimension ref="A3:B7"/>
  <sheetViews>
    <sheetView workbookViewId="0">
      <selection activeCell="D22" sqref="D22"/>
    </sheetView>
  </sheetViews>
  <sheetFormatPr defaultRowHeight="14.5" x14ac:dyDescent="0.35"/>
  <cols>
    <col min="1" max="1" width="12.453125" bestFit="1" customWidth="1"/>
    <col min="2" max="2" width="15.6328125" bestFit="1" customWidth="1"/>
  </cols>
  <sheetData>
    <row r="3" spans="1:2" x14ac:dyDescent="0.35">
      <c r="A3" s="12" t="s">
        <v>115</v>
      </c>
      <c r="B3" t="s">
        <v>117</v>
      </c>
    </row>
    <row r="4" spans="1:2" x14ac:dyDescent="0.35">
      <c r="A4" s="13" t="s">
        <v>17</v>
      </c>
      <c r="B4" s="14">
        <v>320000</v>
      </c>
    </row>
    <row r="5" spans="1:2" x14ac:dyDescent="0.35">
      <c r="A5" s="13" t="s">
        <v>14</v>
      </c>
      <c r="B5" s="14">
        <v>245000</v>
      </c>
    </row>
    <row r="6" spans="1:2" x14ac:dyDescent="0.35">
      <c r="A6" s="13" t="s">
        <v>10</v>
      </c>
      <c r="B6" s="14">
        <v>180000</v>
      </c>
    </row>
    <row r="7" spans="1:2" x14ac:dyDescent="0.35">
      <c r="A7" s="13" t="s">
        <v>116</v>
      </c>
      <c r="B7" s="14">
        <v>745000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E07E9-86E7-465D-BBB7-2DDFC67272B9}">
  <dimension ref="A3:B7"/>
  <sheetViews>
    <sheetView workbookViewId="0">
      <selection activeCell="B6" sqref="B6"/>
    </sheetView>
  </sheetViews>
  <sheetFormatPr defaultRowHeight="14.5" x14ac:dyDescent="0.35"/>
  <cols>
    <col min="1" max="1" width="12.453125" bestFit="1" customWidth="1"/>
    <col min="2" max="2" width="15.6328125" bestFit="1" customWidth="1"/>
  </cols>
  <sheetData>
    <row r="3" spans="1:2" x14ac:dyDescent="0.35">
      <c r="A3" s="12" t="s">
        <v>115</v>
      </c>
      <c r="B3" t="s">
        <v>117</v>
      </c>
    </row>
    <row r="4" spans="1:2" x14ac:dyDescent="0.35">
      <c r="A4" s="13" t="s">
        <v>118</v>
      </c>
      <c r="B4" s="14">
        <v>400000</v>
      </c>
    </row>
    <row r="5" spans="1:2" x14ac:dyDescent="0.35">
      <c r="A5" s="13" t="s">
        <v>119</v>
      </c>
      <c r="B5" s="14">
        <v>245000</v>
      </c>
    </row>
    <row r="6" spans="1:2" x14ac:dyDescent="0.35">
      <c r="A6" s="13" t="s">
        <v>120</v>
      </c>
      <c r="B6" s="14">
        <v>100000</v>
      </c>
    </row>
    <row r="7" spans="1:2" x14ac:dyDescent="0.35">
      <c r="A7" s="13" t="s">
        <v>116</v>
      </c>
      <c r="B7" s="14">
        <v>745000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35DC6-42BA-4B4B-BE87-78100C98714A}">
  <dimension ref="A3:B7"/>
  <sheetViews>
    <sheetView workbookViewId="0">
      <selection activeCell="I24" sqref="I24"/>
    </sheetView>
  </sheetViews>
  <sheetFormatPr defaultRowHeight="14.5" x14ac:dyDescent="0.35"/>
  <cols>
    <col min="1" max="1" width="12.453125" bestFit="1" customWidth="1"/>
    <col min="2" max="2" width="15.6328125" bestFit="1" customWidth="1"/>
  </cols>
  <sheetData>
    <row r="3" spans="1:2" x14ac:dyDescent="0.35">
      <c r="A3" s="12" t="s">
        <v>115</v>
      </c>
      <c r="B3" t="s">
        <v>117</v>
      </c>
    </row>
    <row r="4" spans="1:2" x14ac:dyDescent="0.35">
      <c r="A4" s="13" t="s">
        <v>48</v>
      </c>
      <c r="B4" s="14">
        <v>360000</v>
      </c>
    </row>
    <row r="5" spans="1:2" x14ac:dyDescent="0.35">
      <c r="A5" s="13" t="s">
        <v>45</v>
      </c>
      <c r="B5" s="14">
        <v>285000</v>
      </c>
    </row>
    <row r="6" spans="1:2" x14ac:dyDescent="0.35">
      <c r="A6" s="13" t="s">
        <v>51</v>
      </c>
      <c r="B6" s="14">
        <v>100000</v>
      </c>
    </row>
    <row r="7" spans="1:2" x14ac:dyDescent="0.35">
      <c r="A7" s="13" t="s">
        <v>116</v>
      </c>
      <c r="B7" s="14">
        <v>745000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D8E67-CA76-4722-8A8C-F38A7B6C5FCE}">
  <dimension ref="A3:B14"/>
  <sheetViews>
    <sheetView workbookViewId="0">
      <selection activeCell="N21" sqref="N21"/>
    </sheetView>
  </sheetViews>
  <sheetFormatPr defaultRowHeight="14.5" x14ac:dyDescent="0.35"/>
  <cols>
    <col min="1" max="1" width="12.453125" bestFit="1" customWidth="1"/>
    <col min="2" max="2" width="11.54296875" bestFit="1" customWidth="1"/>
  </cols>
  <sheetData>
    <row r="3" spans="1:2" x14ac:dyDescent="0.35">
      <c r="A3" s="12" t="s">
        <v>115</v>
      </c>
      <c r="B3" t="s">
        <v>123</v>
      </c>
    </row>
    <row r="4" spans="1:2" x14ac:dyDescent="0.35">
      <c r="A4" s="13" t="s">
        <v>118</v>
      </c>
      <c r="B4" s="14">
        <v>80000</v>
      </c>
    </row>
    <row r="5" spans="1:2" x14ac:dyDescent="0.35">
      <c r="A5" s="13" t="s">
        <v>119</v>
      </c>
      <c r="B5" s="14">
        <v>49000</v>
      </c>
    </row>
    <row r="6" spans="1:2" x14ac:dyDescent="0.35">
      <c r="A6" s="13" t="s">
        <v>120</v>
      </c>
      <c r="B6" s="14">
        <v>20000</v>
      </c>
    </row>
    <row r="7" spans="1:2" x14ac:dyDescent="0.35">
      <c r="A7" s="13" t="s">
        <v>116</v>
      </c>
      <c r="B7" s="14">
        <v>149000</v>
      </c>
    </row>
    <row r="10" spans="1:2" x14ac:dyDescent="0.35">
      <c r="A10" t="s">
        <v>115</v>
      </c>
      <c r="B10" t="s">
        <v>123</v>
      </c>
    </row>
    <row r="11" spans="1:2" x14ac:dyDescent="0.35">
      <c r="A11" t="s">
        <v>118</v>
      </c>
      <c r="B11">
        <v>320000</v>
      </c>
    </row>
    <row r="12" spans="1:2" x14ac:dyDescent="0.35">
      <c r="A12" t="s">
        <v>119</v>
      </c>
      <c r="B12">
        <v>193000</v>
      </c>
    </row>
    <row r="13" spans="1:2" x14ac:dyDescent="0.35">
      <c r="A13" t="s">
        <v>120</v>
      </c>
      <c r="B13">
        <v>121000</v>
      </c>
    </row>
    <row r="14" spans="1:2" x14ac:dyDescent="0.35">
      <c r="A14" t="s">
        <v>116</v>
      </c>
      <c r="B14">
        <v>634000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425E7-E6FB-4D28-B35D-4486521887A5}">
  <dimension ref="A1:X27"/>
  <sheetViews>
    <sheetView tabSelected="1" workbookViewId="0">
      <selection activeCell="A20" sqref="A20"/>
    </sheetView>
  </sheetViews>
  <sheetFormatPr defaultRowHeight="14.5" x14ac:dyDescent="0.35"/>
  <cols>
    <col min="1" max="1" width="12.453125" bestFit="1" customWidth="1"/>
    <col min="2" max="2" width="15.6328125" bestFit="1" customWidth="1"/>
  </cols>
  <sheetData>
    <row r="1" spans="1:24" x14ac:dyDescent="0.35">
      <c r="A1" s="16" t="s">
        <v>125</v>
      </c>
      <c r="B1" s="16" t="s">
        <v>126</v>
      </c>
    </row>
    <row r="2" spans="1:24" x14ac:dyDescent="0.35">
      <c r="A2" s="17" t="s">
        <v>127</v>
      </c>
      <c r="B2" s="17">
        <f>SUM(Table1[total sales])</f>
        <v>3170000</v>
      </c>
    </row>
    <row r="3" spans="1:24" x14ac:dyDescent="0.35">
      <c r="A3" s="17" t="s">
        <v>128</v>
      </c>
      <c r="B3" s="17">
        <f>COUNTA(Table1[Order_ID])</f>
        <v>25</v>
      </c>
    </row>
    <row r="4" spans="1:24" x14ac:dyDescent="0.35">
      <c r="A4" s="17" t="s">
        <v>129</v>
      </c>
      <c r="B4" s="17">
        <f>AVERAGE(Table1[total sales])</f>
        <v>126800</v>
      </c>
    </row>
    <row r="5" spans="1:24" x14ac:dyDescent="0.35">
      <c r="A5" s="17" t="s">
        <v>130</v>
      </c>
      <c r="B5" s="17" t="str">
        <f>INDEX('Salesman Performance'!$A$4:$A$6,MATCH(MAX('Salesman Performance'!B4:B6),'Salesman Performance'!$B$4:$B$6,0))</f>
        <v>Sneha</v>
      </c>
    </row>
    <row r="10" spans="1:24" x14ac:dyDescent="0.35">
      <c r="V10" s="3"/>
      <c r="W10" s="4"/>
      <c r="X10" s="5"/>
    </row>
    <row r="11" spans="1:24" x14ac:dyDescent="0.35">
      <c r="V11" s="6"/>
      <c r="W11" s="7"/>
      <c r="X11" s="8"/>
    </row>
    <row r="12" spans="1:24" x14ac:dyDescent="0.35">
      <c r="V12" s="6"/>
      <c r="W12" s="7"/>
      <c r="X12" s="8"/>
    </row>
    <row r="13" spans="1:24" x14ac:dyDescent="0.35">
      <c r="V13" s="6"/>
      <c r="W13" s="7"/>
      <c r="X13" s="8"/>
    </row>
    <row r="14" spans="1:24" x14ac:dyDescent="0.35">
      <c r="V14" s="6"/>
      <c r="W14" s="7"/>
      <c r="X14" s="8"/>
    </row>
    <row r="15" spans="1:24" x14ac:dyDescent="0.35">
      <c r="V15" s="6"/>
      <c r="W15" s="7"/>
      <c r="X15" s="8"/>
    </row>
    <row r="16" spans="1:24" x14ac:dyDescent="0.35">
      <c r="V16" s="6"/>
      <c r="W16" s="7"/>
      <c r="X16" s="8"/>
    </row>
    <row r="17" spans="22:24" x14ac:dyDescent="0.35">
      <c r="V17" s="6"/>
      <c r="W17" s="7"/>
      <c r="X17" s="8"/>
    </row>
    <row r="18" spans="22:24" x14ac:dyDescent="0.35">
      <c r="V18" s="6"/>
      <c r="W18" s="7"/>
      <c r="X18" s="8"/>
    </row>
    <row r="19" spans="22:24" x14ac:dyDescent="0.35">
      <c r="V19" s="6"/>
      <c r="W19" s="7"/>
      <c r="X19" s="8"/>
    </row>
    <row r="20" spans="22:24" x14ac:dyDescent="0.35">
      <c r="V20" s="6"/>
      <c r="W20" s="7"/>
      <c r="X20" s="8"/>
    </row>
    <row r="21" spans="22:24" x14ac:dyDescent="0.35">
      <c r="V21" s="6"/>
      <c r="W21" s="7"/>
      <c r="X21" s="8"/>
    </row>
    <row r="22" spans="22:24" x14ac:dyDescent="0.35">
      <c r="V22" s="6"/>
      <c r="W22" s="7"/>
      <c r="X22" s="8"/>
    </row>
    <row r="23" spans="22:24" x14ac:dyDescent="0.35">
      <c r="V23" s="6"/>
      <c r="W23" s="7"/>
      <c r="X23" s="8"/>
    </row>
    <row r="24" spans="22:24" x14ac:dyDescent="0.35">
      <c r="V24" s="6"/>
      <c r="W24" s="7"/>
      <c r="X24" s="8"/>
    </row>
    <row r="25" spans="22:24" x14ac:dyDescent="0.35">
      <c r="V25" s="6"/>
      <c r="W25" s="7"/>
      <c r="X25" s="8"/>
    </row>
    <row r="26" spans="22:24" x14ac:dyDescent="0.35">
      <c r="V26" s="6"/>
      <c r="W26" s="7"/>
      <c r="X26" s="8"/>
    </row>
    <row r="27" spans="22:24" x14ac:dyDescent="0.35">
      <c r="V27" s="9"/>
      <c r="W27" s="10"/>
      <c r="X27" s="11"/>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F1607-68D5-48AC-87AF-C1BC63403054}">
  <dimension ref="A1:N26"/>
  <sheetViews>
    <sheetView workbookViewId="0">
      <selection activeCell="A2" sqref="A2"/>
    </sheetView>
  </sheetViews>
  <sheetFormatPr defaultRowHeight="14.5" x14ac:dyDescent="0.35"/>
  <cols>
    <col min="1" max="1" width="19.1796875" bestFit="1" customWidth="1"/>
    <col min="2" max="3" width="19.1796875" customWidth="1"/>
    <col min="4" max="4" width="13.6328125" customWidth="1"/>
    <col min="5" max="5" width="11.54296875" bestFit="1" customWidth="1"/>
    <col min="6" max="6" width="11.08984375" customWidth="1"/>
    <col min="7" max="7" width="10" customWidth="1"/>
    <col min="8" max="8" width="12.1796875" customWidth="1"/>
    <col min="9" max="9" width="9" bestFit="1" customWidth="1"/>
    <col min="10" max="10" width="11.453125" bestFit="1" customWidth="1"/>
    <col min="11" max="11" width="11.36328125" customWidth="1"/>
    <col min="13" max="13" width="16.90625" customWidth="1"/>
  </cols>
  <sheetData>
    <row r="1" spans="1:14" s="2" customFormat="1" x14ac:dyDescent="0.35">
      <c r="A1" s="2" t="s">
        <v>1</v>
      </c>
      <c r="B1" s="2" t="s">
        <v>75</v>
      </c>
      <c r="C1" s="2" t="s">
        <v>110</v>
      </c>
      <c r="D1" s="2" t="s">
        <v>2</v>
      </c>
      <c r="E1" s="2" t="s">
        <v>3</v>
      </c>
      <c r="F1" s="2" t="s">
        <v>4</v>
      </c>
      <c r="G1" s="2" t="s">
        <v>5</v>
      </c>
      <c r="H1" s="2" t="s">
        <v>6</v>
      </c>
      <c r="I1" s="2" t="s">
        <v>7</v>
      </c>
      <c r="J1" s="2" t="s">
        <v>111</v>
      </c>
      <c r="K1" s="2" t="s">
        <v>112</v>
      </c>
      <c r="L1" s="2" t="s">
        <v>113</v>
      </c>
      <c r="M1" s="2" t="s">
        <v>114</v>
      </c>
      <c r="N1" s="2" t="s">
        <v>122</v>
      </c>
    </row>
    <row r="2" spans="1:14" x14ac:dyDescent="0.35">
      <c r="A2" t="s">
        <v>43</v>
      </c>
      <c r="B2" t="s">
        <v>44</v>
      </c>
      <c r="C2" t="s">
        <v>45</v>
      </c>
      <c r="D2" t="s">
        <v>8</v>
      </c>
      <c r="E2" t="s">
        <v>9</v>
      </c>
      <c r="F2" t="s">
        <v>10</v>
      </c>
      <c r="G2">
        <v>2</v>
      </c>
      <c r="H2" s="1">
        <v>45303</v>
      </c>
      <c r="I2" t="s">
        <v>11</v>
      </c>
      <c r="J2">
        <f>_xlfn.XLOOKUP(E2,'Price List'!$A$1:$A$9,'Price List'!$B$1:$B$9,"no match",0)</f>
        <v>70000</v>
      </c>
      <c r="K2">
        <f>G2*J2</f>
        <v>140000</v>
      </c>
      <c r="L2" t="str">
        <f>IF(AND(K2&gt;100000,I2="Delivered"),"Bonus","No Bonus")</f>
        <v>Bonus</v>
      </c>
      <c r="M2" t="str">
        <f>TEXT(H2,"MMM")</f>
        <v>Jan</v>
      </c>
      <c r="N2">
        <f>Table1[[#This Row],[total sales]]*20%</f>
        <v>28000</v>
      </c>
    </row>
    <row r="3" spans="1:14" x14ac:dyDescent="0.35">
      <c r="A3" t="s">
        <v>70</v>
      </c>
      <c r="B3" t="s">
        <v>44</v>
      </c>
      <c r="C3" t="s">
        <v>45</v>
      </c>
      <c r="D3" t="s">
        <v>8</v>
      </c>
      <c r="E3" t="s">
        <v>9</v>
      </c>
      <c r="F3" t="s">
        <v>10</v>
      </c>
      <c r="G3">
        <v>2</v>
      </c>
      <c r="H3" s="1">
        <v>45303</v>
      </c>
      <c r="I3" t="s">
        <v>11</v>
      </c>
      <c r="J3">
        <f>_xlfn.XLOOKUP(E3,'Price List'!$A$1:$A$9,'Price List'!$B$1:$B$9,"no match",0)</f>
        <v>70000</v>
      </c>
      <c r="K3">
        <f>G3*J3</f>
        <v>140000</v>
      </c>
      <c r="L3" t="str">
        <f>IF(AND(K3&gt;100000,I3="Delivered"),"Bonus","No Bonus")</f>
        <v>Bonus</v>
      </c>
      <c r="M3" t="str">
        <f>TEXT(H3,"MMM")</f>
        <v>Jan</v>
      </c>
      <c r="N3">
        <f>Table1[[#This Row],[total sales]]*20%</f>
        <v>28000</v>
      </c>
    </row>
    <row r="4" spans="1:14" x14ac:dyDescent="0.35">
      <c r="A4" t="s">
        <v>46</v>
      </c>
      <c r="B4" t="s">
        <v>47</v>
      </c>
      <c r="C4" t="s">
        <v>48</v>
      </c>
      <c r="D4" t="s">
        <v>12</v>
      </c>
      <c r="E4" t="s">
        <v>13</v>
      </c>
      <c r="F4" t="s">
        <v>14</v>
      </c>
      <c r="G4">
        <v>1</v>
      </c>
      <c r="H4" s="1">
        <v>45306</v>
      </c>
      <c r="I4" t="s">
        <v>11</v>
      </c>
      <c r="J4">
        <f>_xlfn.XLOOKUP(E4,'Price List'!$A$1:$A$9,'Price List'!$B$1:$B$9,"no match",0)</f>
        <v>90000</v>
      </c>
      <c r="K4">
        <f>G4*J4</f>
        <v>90000</v>
      </c>
      <c r="L4" t="str">
        <f>IF(AND(K4&gt;100000,I4="Delivered"),"Bonus","No Bonus")</f>
        <v>No Bonus</v>
      </c>
      <c r="M4" t="str">
        <f>TEXT(H4,"MMM")</f>
        <v>Jan</v>
      </c>
      <c r="N4">
        <f>Table1[[#This Row],[total sales]]*20%</f>
        <v>18000</v>
      </c>
    </row>
    <row r="5" spans="1:14" x14ac:dyDescent="0.35">
      <c r="A5" t="s">
        <v>71</v>
      </c>
      <c r="B5" t="s">
        <v>47</v>
      </c>
      <c r="C5" t="s">
        <v>48</v>
      </c>
      <c r="D5" t="s">
        <v>12</v>
      </c>
      <c r="E5" t="s">
        <v>13</v>
      </c>
      <c r="F5" t="s">
        <v>14</v>
      </c>
      <c r="G5">
        <v>1</v>
      </c>
      <c r="H5" s="1">
        <v>45306</v>
      </c>
      <c r="I5" t="s">
        <v>11</v>
      </c>
      <c r="J5">
        <f>_xlfn.XLOOKUP(E5,'Price List'!$A$1:$A$9,'Price List'!$B$1:$B$9,"no match",0)</f>
        <v>90000</v>
      </c>
      <c r="K5">
        <f>G5*J5</f>
        <v>90000</v>
      </c>
      <c r="L5" t="str">
        <f>IF(AND(K5&gt;100000,I5="Delivered"),"Bonus","No Bonus")</f>
        <v>No Bonus</v>
      </c>
      <c r="M5" t="str">
        <f>TEXT(H5,"MMM")</f>
        <v>Jan</v>
      </c>
      <c r="N5">
        <f>Table1[[#This Row],[total sales]]*20%</f>
        <v>18000</v>
      </c>
    </row>
    <row r="6" spans="1:14" x14ac:dyDescent="0.35">
      <c r="A6" t="s">
        <v>49</v>
      </c>
      <c r="B6" t="s">
        <v>50</v>
      </c>
      <c r="C6" t="s">
        <v>51</v>
      </c>
      <c r="D6" t="s">
        <v>15</v>
      </c>
      <c r="E6" t="s">
        <v>16</v>
      </c>
      <c r="F6" t="s">
        <v>17</v>
      </c>
      <c r="G6">
        <v>3</v>
      </c>
      <c r="H6" s="1">
        <v>45309</v>
      </c>
      <c r="I6" t="s">
        <v>18</v>
      </c>
      <c r="J6">
        <f>_xlfn.XLOOKUP(E6,'Price List'!$A$1:$A$9,'Price List'!$B$1:$B$9,"no match",0)</f>
        <v>60000</v>
      </c>
      <c r="K6">
        <f>G6*J6</f>
        <v>180000</v>
      </c>
      <c r="L6" t="str">
        <f>IF(AND(K6&gt;100000,I6="Delivered"),"Bonus","No Bonus")</f>
        <v>No Bonus</v>
      </c>
      <c r="M6" t="str">
        <f>TEXT(H6,"MMM")</f>
        <v>Jan</v>
      </c>
      <c r="N6">
        <f>Table1[[#This Row],[total sales]]*20%</f>
        <v>36000</v>
      </c>
    </row>
    <row r="7" spans="1:14" x14ac:dyDescent="0.35">
      <c r="A7" t="s">
        <v>72</v>
      </c>
      <c r="B7" t="s">
        <v>50</v>
      </c>
      <c r="C7" t="s">
        <v>51</v>
      </c>
      <c r="D7" t="s">
        <v>15</v>
      </c>
      <c r="E7" t="s">
        <v>16</v>
      </c>
      <c r="F7" t="s">
        <v>17</v>
      </c>
      <c r="G7">
        <v>3</v>
      </c>
      <c r="H7" s="1">
        <v>45309</v>
      </c>
      <c r="I7" t="s">
        <v>18</v>
      </c>
      <c r="J7">
        <f>_xlfn.XLOOKUP(E7,'Price List'!$A$1:$A$9,'Price List'!$B$1:$B$9,"no match",0)</f>
        <v>60000</v>
      </c>
      <c r="K7">
        <f>G7*J7</f>
        <v>180000</v>
      </c>
      <c r="L7" t="str">
        <f>IF(AND(K7&gt;100000,I7="Delivered"),"Bonus","No Bonus")</f>
        <v>No Bonus</v>
      </c>
      <c r="M7" t="str">
        <f>TEXT(H7,"MMM")</f>
        <v>Jan</v>
      </c>
      <c r="N7">
        <f>Table1[[#This Row],[total sales]]*20%</f>
        <v>36000</v>
      </c>
    </row>
    <row r="8" spans="1:14" x14ac:dyDescent="0.35">
      <c r="A8" t="s">
        <v>52</v>
      </c>
      <c r="B8" t="s">
        <v>53</v>
      </c>
      <c r="C8" t="s">
        <v>45</v>
      </c>
      <c r="D8" t="s">
        <v>19</v>
      </c>
      <c r="E8" t="s">
        <v>20</v>
      </c>
      <c r="F8" t="s">
        <v>10</v>
      </c>
      <c r="G8">
        <v>2</v>
      </c>
      <c r="H8" s="1">
        <v>45311</v>
      </c>
      <c r="I8" t="s">
        <v>11</v>
      </c>
      <c r="J8">
        <f>_xlfn.XLOOKUP(E8,'Price List'!$A$1:$A$9,'Price List'!$B$1:$B$9,"no match",0)</f>
        <v>65000</v>
      </c>
      <c r="K8">
        <f>G8*J8</f>
        <v>130000</v>
      </c>
      <c r="L8" t="str">
        <f>IF(AND(K8&gt;100000,I8="Delivered"),"Bonus","No Bonus")</f>
        <v>Bonus</v>
      </c>
      <c r="M8" t="str">
        <f>TEXT(H8,"MMM")</f>
        <v>Jan</v>
      </c>
      <c r="N8">
        <f>Table1[[#This Row],[total sales]]*20%</f>
        <v>26000</v>
      </c>
    </row>
    <row r="9" spans="1:14" x14ac:dyDescent="0.35">
      <c r="A9" t="s">
        <v>73</v>
      </c>
      <c r="B9" t="s">
        <v>53</v>
      </c>
      <c r="C9" t="s">
        <v>45</v>
      </c>
      <c r="D9" t="s">
        <v>19</v>
      </c>
      <c r="E9" t="s">
        <v>20</v>
      </c>
      <c r="F9" t="s">
        <v>10</v>
      </c>
      <c r="G9">
        <v>2</v>
      </c>
      <c r="H9" s="1">
        <v>45311</v>
      </c>
      <c r="I9" t="s">
        <v>11</v>
      </c>
      <c r="J9">
        <f>_xlfn.XLOOKUP(E9,'Price List'!$A$1:$A$9,'Price List'!$B$1:$B$9,"no match",0)</f>
        <v>65000</v>
      </c>
      <c r="K9">
        <f>G9*J9</f>
        <v>130000</v>
      </c>
      <c r="L9" t="str">
        <f>IF(AND(K9&gt;100000,I9="Delivered"),"Bonus","No Bonus")</f>
        <v>Bonus</v>
      </c>
      <c r="M9" t="str">
        <f>TEXT(H9,"MMM")</f>
        <v>Jan</v>
      </c>
      <c r="N9">
        <f>Table1[[#This Row],[total sales]]*20%</f>
        <v>26000</v>
      </c>
    </row>
    <row r="10" spans="1:14" x14ac:dyDescent="0.35">
      <c r="A10" t="s">
        <v>54</v>
      </c>
      <c r="B10" t="s">
        <v>44</v>
      </c>
      <c r="C10" t="s">
        <v>48</v>
      </c>
      <c r="D10" t="s">
        <v>21</v>
      </c>
      <c r="E10" t="s">
        <v>22</v>
      </c>
      <c r="F10" t="s">
        <v>14</v>
      </c>
      <c r="G10">
        <v>1</v>
      </c>
      <c r="H10" s="1">
        <v>45313</v>
      </c>
      <c r="I10" t="s">
        <v>23</v>
      </c>
      <c r="J10">
        <f>_xlfn.XLOOKUP(E10,'Price List'!$A$1:$A$9,'Price List'!$B$1:$B$9,"no match",0)</f>
        <v>95000</v>
      </c>
      <c r="K10">
        <f>G10*J10</f>
        <v>95000</v>
      </c>
      <c r="L10" t="str">
        <f>IF(AND(K10&gt;100000,I10="Delivered"),"Bonus","No Bonus")</f>
        <v>No Bonus</v>
      </c>
      <c r="M10" t="str">
        <f>TEXT(H10,"MMM")</f>
        <v>Jan</v>
      </c>
      <c r="N10">
        <f>Table1[[#This Row],[total sales]]*20%</f>
        <v>19000</v>
      </c>
    </row>
    <row r="11" spans="1:14" x14ac:dyDescent="0.35">
      <c r="A11" t="s">
        <v>74</v>
      </c>
      <c r="B11" t="s">
        <v>44</v>
      </c>
      <c r="C11" t="s">
        <v>48</v>
      </c>
      <c r="D11" t="s">
        <v>21</v>
      </c>
      <c r="E11" t="s">
        <v>22</v>
      </c>
      <c r="F11" t="s">
        <v>14</v>
      </c>
      <c r="G11">
        <v>1</v>
      </c>
      <c r="H11" s="1">
        <v>45313</v>
      </c>
      <c r="I11" t="s">
        <v>23</v>
      </c>
      <c r="J11">
        <f>_xlfn.XLOOKUP(E11,'Price List'!$A$1:$A$9,'Price List'!$B$1:$B$9,"no match",0)</f>
        <v>95000</v>
      </c>
      <c r="K11">
        <f>G11*J11</f>
        <v>95000</v>
      </c>
      <c r="L11" t="str">
        <f>IF(AND(K11&gt;100000,I11="Delivered"),"Bonus","No Bonus")</f>
        <v>No Bonus</v>
      </c>
      <c r="M11" t="str">
        <f>TEXT(H11,"MMM")</f>
        <v>Jan</v>
      </c>
      <c r="N11">
        <f>Table1[[#This Row],[total sales]]*20%</f>
        <v>19000</v>
      </c>
    </row>
    <row r="12" spans="1:14" x14ac:dyDescent="0.35">
      <c r="A12" t="s">
        <v>55</v>
      </c>
      <c r="B12" t="s">
        <v>47</v>
      </c>
      <c r="C12" t="s">
        <v>45</v>
      </c>
      <c r="D12" t="s">
        <v>24</v>
      </c>
      <c r="E12" t="s">
        <v>25</v>
      </c>
      <c r="F12" t="s">
        <v>17</v>
      </c>
      <c r="G12">
        <v>4</v>
      </c>
      <c r="H12" s="1">
        <v>45316</v>
      </c>
      <c r="I12" t="s">
        <v>11</v>
      </c>
      <c r="J12">
        <f>_xlfn.XLOOKUP(E12,'Price List'!$A$1:$A$9,'Price List'!$B$1:$B$9,"no match",0)</f>
        <v>55000</v>
      </c>
      <c r="K12">
        <f>G12*J12</f>
        <v>220000</v>
      </c>
      <c r="L12" t="str">
        <f>IF(AND(K12&gt;100000,I12="Delivered"),"Bonus","No Bonus")</f>
        <v>Bonus</v>
      </c>
      <c r="M12" t="str">
        <f>TEXT(H12,"MMM")</f>
        <v>Jan</v>
      </c>
      <c r="N12">
        <f>Table1[[#This Row],[total sales]]*20%</f>
        <v>44000</v>
      </c>
    </row>
    <row r="13" spans="1:14" x14ac:dyDescent="0.35">
      <c r="A13" t="s">
        <v>56</v>
      </c>
      <c r="B13" t="s">
        <v>50</v>
      </c>
      <c r="C13" t="s">
        <v>48</v>
      </c>
      <c r="D13" t="s">
        <v>26</v>
      </c>
      <c r="E13" t="s">
        <v>27</v>
      </c>
      <c r="F13" t="s">
        <v>10</v>
      </c>
      <c r="G13">
        <v>1</v>
      </c>
      <c r="H13" s="1">
        <v>45319</v>
      </c>
      <c r="I13" t="s">
        <v>11</v>
      </c>
      <c r="J13">
        <f>_xlfn.XLOOKUP(E13,'Price List'!$A$1:$A$9,'Price List'!$B$1:$B$9,"no match",0)</f>
        <v>110000</v>
      </c>
      <c r="K13">
        <f>G13*J13</f>
        <v>110000</v>
      </c>
      <c r="L13" t="str">
        <f>IF(AND(K13&gt;100000,I13="Delivered"),"Bonus","No Bonus")</f>
        <v>Bonus</v>
      </c>
      <c r="M13" t="str">
        <f>TEXT(H13,"MMM")</f>
        <v>Jan</v>
      </c>
      <c r="N13">
        <f>Table1[[#This Row],[total sales]]*20%</f>
        <v>22000</v>
      </c>
    </row>
    <row r="14" spans="1:14" x14ac:dyDescent="0.35">
      <c r="A14" t="s">
        <v>57</v>
      </c>
      <c r="B14" t="s">
        <v>53</v>
      </c>
      <c r="C14" t="s">
        <v>51</v>
      </c>
      <c r="D14" t="s">
        <v>28</v>
      </c>
      <c r="E14" t="s">
        <v>29</v>
      </c>
      <c r="F14" t="s">
        <v>14</v>
      </c>
      <c r="G14">
        <v>2</v>
      </c>
      <c r="H14" s="1">
        <v>45323</v>
      </c>
      <c r="I14" t="s">
        <v>18</v>
      </c>
      <c r="J14">
        <f>_xlfn.XLOOKUP(E14,'Price List'!$A$1:$A$9,'Price List'!$B$1:$B$9,"no match",0)</f>
        <v>25000</v>
      </c>
      <c r="K14">
        <f>G14*J14</f>
        <v>50000</v>
      </c>
      <c r="L14" t="str">
        <f>IF(AND(K14&gt;100000,I14="Delivered"),"Bonus","No Bonus")</f>
        <v>No Bonus</v>
      </c>
      <c r="M14" t="str">
        <f>TEXT(H14,"MMM")</f>
        <v>Feb</v>
      </c>
      <c r="N14">
        <f>Table1[[#This Row],[total sales]]*20%</f>
        <v>10000</v>
      </c>
    </row>
    <row r="15" spans="1:14" x14ac:dyDescent="0.35">
      <c r="A15" t="s">
        <v>58</v>
      </c>
      <c r="B15" t="s">
        <v>44</v>
      </c>
      <c r="C15" t="s">
        <v>45</v>
      </c>
      <c r="D15" t="s">
        <v>30</v>
      </c>
      <c r="E15" t="s">
        <v>9</v>
      </c>
      <c r="F15" t="s">
        <v>17</v>
      </c>
      <c r="G15">
        <v>1</v>
      </c>
      <c r="H15" s="1">
        <v>45327</v>
      </c>
      <c r="I15" t="s">
        <v>11</v>
      </c>
      <c r="J15">
        <f>_xlfn.XLOOKUP(E15,'Price List'!$A$1:$A$9,'Price List'!$B$1:$B$9,"no match",0)</f>
        <v>70000</v>
      </c>
      <c r="K15">
        <f>G15*J15</f>
        <v>70000</v>
      </c>
      <c r="L15" t="str">
        <f>IF(AND(K15&gt;100000,I15="Delivered"),"Bonus","No Bonus")</f>
        <v>No Bonus</v>
      </c>
      <c r="M15" t="str">
        <f>TEXT(H15,"MMM")</f>
        <v>Feb</v>
      </c>
      <c r="N15">
        <f>Table1[[#This Row],[total sales]]*20%</f>
        <v>14000</v>
      </c>
    </row>
    <row r="16" spans="1:14" x14ac:dyDescent="0.35">
      <c r="A16" t="s">
        <v>59</v>
      </c>
      <c r="B16" t="s">
        <v>47</v>
      </c>
      <c r="C16" t="s">
        <v>48</v>
      </c>
      <c r="D16" t="s">
        <v>31</v>
      </c>
      <c r="E16" t="s">
        <v>13</v>
      </c>
      <c r="F16" t="s">
        <v>10</v>
      </c>
      <c r="G16">
        <v>2</v>
      </c>
      <c r="H16" s="1">
        <v>45330</v>
      </c>
      <c r="I16" t="s">
        <v>11</v>
      </c>
      <c r="J16">
        <f>_xlfn.XLOOKUP(E16,'Price List'!$A$1:$A$9,'Price List'!$B$1:$B$9,"no match",0)</f>
        <v>90000</v>
      </c>
      <c r="K16">
        <f>G16*J16</f>
        <v>180000</v>
      </c>
      <c r="L16" t="str">
        <f>IF(AND(K16&gt;100000,I16="Delivered"),"Bonus","No Bonus")</f>
        <v>Bonus</v>
      </c>
      <c r="M16" t="str">
        <f>TEXT(H16,"MMM")</f>
        <v>Feb</v>
      </c>
      <c r="N16">
        <f>Table1[[#This Row],[total sales]]*20%</f>
        <v>36000</v>
      </c>
    </row>
    <row r="17" spans="1:14" x14ac:dyDescent="0.35">
      <c r="A17" t="s">
        <v>60</v>
      </c>
      <c r="B17" t="s">
        <v>50</v>
      </c>
      <c r="C17" t="s">
        <v>45</v>
      </c>
      <c r="D17" t="s">
        <v>32</v>
      </c>
      <c r="E17" t="s">
        <v>25</v>
      </c>
      <c r="F17" t="s">
        <v>14</v>
      </c>
      <c r="G17">
        <v>3</v>
      </c>
      <c r="H17" s="1">
        <v>45332</v>
      </c>
      <c r="I17" t="s">
        <v>11</v>
      </c>
      <c r="J17">
        <f>_xlfn.XLOOKUP(E17,'Price List'!$A$1:$A$9,'Price List'!$B$1:$B$9,"no match",0)</f>
        <v>55000</v>
      </c>
      <c r="K17">
        <f>G17*J17</f>
        <v>165000</v>
      </c>
      <c r="L17" t="str">
        <f>IF(AND(K17&gt;100000,I17="Delivered"),"Bonus","No Bonus")</f>
        <v>Bonus</v>
      </c>
      <c r="M17" t="str">
        <f>TEXT(H17,"MMM")</f>
        <v>Feb</v>
      </c>
      <c r="N17">
        <f>Table1[[#This Row],[total sales]]*20%</f>
        <v>33000</v>
      </c>
    </row>
    <row r="18" spans="1:14" x14ac:dyDescent="0.35">
      <c r="A18" t="s">
        <v>61</v>
      </c>
      <c r="B18" t="s">
        <v>53</v>
      </c>
      <c r="C18" t="s">
        <v>48</v>
      </c>
      <c r="D18" t="s">
        <v>33</v>
      </c>
      <c r="E18" t="s">
        <v>22</v>
      </c>
      <c r="F18" t="s">
        <v>17</v>
      </c>
      <c r="G18">
        <v>1</v>
      </c>
      <c r="H18" s="1">
        <v>45336</v>
      </c>
      <c r="I18" t="s">
        <v>11</v>
      </c>
      <c r="J18">
        <f>_xlfn.XLOOKUP(E18,'Price List'!$A$1:$A$9,'Price List'!$B$1:$B$9,"no match",0)</f>
        <v>95000</v>
      </c>
      <c r="K18">
        <f>G18*J18</f>
        <v>95000</v>
      </c>
      <c r="L18" t="str">
        <f>IF(AND(K18&gt;100000,I18="Delivered"),"Bonus","No Bonus")</f>
        <v>No Bonus</v>
      </c>
      <c r="M18" t="str">
        <f>TEXT(H18,"MMM")</f>
        <v>Feb</v>
      </c>
      <c r="N18">
        <f>Table1[[#This Row],[total sales]]*20%</f>
        <v>19000</v>
      </c>
    </row>
    <row r="19" spans="1:14" x14ac:dyDescent="0.35">
      <c r="A19" t="s">
        <v>62</v>
      </c>
      <c r="B19" t="s">
        <v>44</v>
      </c>
      <c r="C19" t="s">
        <v>51</v>
      </c>
      <c r="D19" t="s">
        <v>34</v>
      </c>
      <c r="E19" t="s">
        <v>16</v>
      </c>
      <c r="F19" t="s">
        <v>10</v>
      </c>
      <c r="G19">
        <v>2</v>
      </c>
      <c r="H19" s="1">
        <v>45340</v>
      </c>
      <c r="I19" t="s">
        <v>18</v>
      </c>
      <c r="J19">
        <f>_xlfn.XLOOKUP(E19,'Price List'!$A$1:$A$9,'Price List'!$B$1:$B$9,"no match",0)</f>
        <v>60000</v>
      </c>
      <c r="K19">
        <f>G19*J19</f>
        <v>120000</v>
      </c>
      <c r="L19" t="str">
        <f>IF(AND(K19&gt;100000,I19="Delivered"),"Bonus","No Bonus")</f>
        <v>No Bonus</v>
      </c>
      <c r="M19" t="str">
        <f>TEXT(H19,"MMM")</f>
        <v>Feb</v>
      </c>
      <c r="N19">
        <f>Table1[[#This Row],[total sales]]*20%</f>
        <v>24000</v>
      </c>
    </row>
    <row r="20" spans="1:14" x14ac:dyDescent="0.35">
      <c r="A20" t="s">
        <v>63</v>
      </c>
      <c r="B20" t="s">
        <v>47</v>
      </c>
      <c r="C20" t="s">
        <v>45</v>
      </c>
      <c r="D20" t="s">
        <v>35</v>
      </c>
      <c r="E20" t="s">
        <v>20</v>
      </c>
      <c r="F20" t="s">
        <v>14</v>
      </c>
      <c r="G20">
        <v>1</v>
      </c>
      <c r="H20" s="1">
        <v>45342</v>
      </c>
      <c r="I20" t="s">
        <v>11</v>
      </c>
      <c r="J20">
        <f>_xlfn.XLOOKUP(E20,'Price List'!$A$1:$A$9,'Price List'!$B$1:$B$9,"no match",0)</f>
        <v>65000</v>
      </c>
      <c r="K20">
        <f>G20*J20</f>
        <v>65000</v>
      </c>
      <c r="L20" t="str">
        <f>IF(AND(K20&gt;100000,I20="Delivered"),"Bonus","No Bonus")</f>
        <v>No Bonus</v>
      </c>
      <c r="M20" t="str">
        <f>TEXT(H20,"MMM")</f>
        <v>Feb</v>
      </c>
      <c r="N20">
        <f>Table1[[#This Row],[total sales]]*20%</f>
        <v>13000</v>
      </c>
    </row>
    <row r="21" spans="1:14" x14ac:dyDescent="0.35">
      <c r="A21" t="s">
        <v>64</v>
      </c>
      <c r="B21" t="s">
        <v>50</v>
      </c>
      <c r="C21" t="s">
        <v>48</v>
      </c>
      <c r="D21" t="s">
        <v>36</v>
      </c>
      <c r="E21" t="s">
        <v>27</v>
      </c>
      <c r="F21" t="s">
        <v>17</v>
      </c>
      <c r="G21">
        <v>2</v>
      </c>
      <c r="H21" s="1">
        <v>45347</v>
      </c>
      <c r="I21" t="s">
        <v>11</v>
      </c>
      <c r="J21">
        <f>_xlfn.XLOOKUP(E21,'Price List'!$A$1:$A$9,'Price List'!$B$1:$B$9,"no match",0)</f>
        <v>110000</v>
      </c>
      <c r="K21">
        <f>G21*J21</f>
        <v>220000</v>
      </c>
      <c r="L21" t="str">
        <f>IF(AND(K21&gt;100000,I21="Delivered"),"Bonus","No Bonus")</f>
        <v>Bonus</v>
      </c>
      <c r="M21" t="str">
        <f>TEXT(H21,"MMM")</f>
        <v>Feb</v>
      </c>
      <c r="N21">
        <f>Table1[[#This Row],[total sales]]*20%</f>
        <v>44000</v>
      </c>
    </row>
    <row r="22" spans="1:14" x14ac:dyDescent="0.35">
      <c r="A22" t="s">
        <v>65</v>
      </c>
      <c r="B22" t="s">
        <v>53</v>
      </c>
      <c r="C22" t="s">
        <v>45</v>
      </c>
      <c r="D22" t="s">
        <v>37</v>
      </c>
      <c r="E22" t="s">
        <v>9</v>
      </c>
      <c r="F22" t="s">
        <v>10</v>
      </c>
      <c r="G22">
        <v>3</v>
      </c>
      <c r="H22" s="1">
        <v>45352</v>
      </c>
      <c r="I22" t="s">
        <v>11</v>
      </c>
      <c r="J22">
        <f>_xlfn.XLOOKUP(E22,'Price List'!$A$1:$A$9,'Price List'!$B$1:$B$9,"no match",0)</f>
        <v>70000</v>
      </c>
      <c r="K22">
        <f>G22*J22</f>
        <v>210000</v>
      </c>
      <c r="L22" t="str">
        <f>IF(AND(K22&gt;100000,I22="Delivered"),"Bonus","No Bonus")</f>
        <v>Bonus</v>
      </c>
      <c r="M22" t="str">
        <f>TEXT(H22,"MMM")</f>
        <v>Mar</v>
      </c>
      <c r="N22">
        <f>Table1[[#This Row],[total sales]]*20%</f>
        <v>42000</v>
      </c>
    </row>
    <row r="23" spans="1:14" x14ac:dyDescent="0.35">
      <c r="A23" t="s">
        <v>66</v>
      </c>
      <c r="B23" t="s">
        <v>44</v>
      </c>
      <c r="C23" t="s">
        <v>48</v>
      </c>
      <c r="D23" t="s">
        <v>38</v>
      </c>
      <c r="E23" t="s">
        <v>13</v>
      </c>
      <c r="F23" t="s">
        <v>14</v>
      </c>
      <c r="G23">
        <v>1</v>
      </c>
      <c r="H23" s="1">
        <v>45356</v>
      </c>
      <c r="I23" t="s">
        <v>18</v>
      </c>
      <c r="J23">
        <f>_xlfn.XLOOKUP(E23,'Price List'!$A$1:$A$9,'Price List'!$B$1:$B$9,"no match",0)</f>
        <v>90000</v>
      </c>
      <c r="K23">
        <f>G23*J23</f>
        <v>90000</v>
      </c>
      <c r="L23" t="str">
        <f>IF(AND(K23&gt;100000,I23="Delivered"),"Bonus","No Bonus")</f>
        <v>No Bonus</v>
      </c>
      <c r="M23" t="str">
        <f>TEXT(H23,"MMM")</f>
        <v>Mar</v>
      </c>
      <c r="N23">
        <f>Table1[[#This Row],[total sales]]*20%</f>
        <v>18000</v>
      </c>
    </row>
    <row r="24" spans="1:14" x14ac:dyDescent="0.35">
      <c r="A24" t="s">
        <v>67</v>
      </c>
      <c r="B24" t="s">
        <v>47</v>
      </c>
      <c r="C24" t="s">
        <v>51</v>
      </c>
      <c r="D24" t="s">
        <v>39</v>
      </c>
      <c r="E24" t="s">
        <v>29</v>
      </c>
      <c r="F24" t="s">
        <v>17</v>
      </c>
      <c r="G24">
        <v>4</v>
      </c>
      <c r="H24" s="1">
        <v>45361</v>
      </c>
      <c r="I24" t="s">
        <v>11</v>
      </c>
      <c r="J24">
        <f>_xlfn.XLOOKUP(E24,'Price List'!$A$1:$A$9,'Price List'!$B$1:$B$9,"no match",0)</f>
        <v>25000</v>
      </c>
      <c r="K24">
        <f>G24*J24</f>
        <v>100000</v>
      </c>
      <c r="L24" t="str">
        <f>IF(AND(K24&gt;100000,I24="Delivered"),"Bonus","No Bonus")</f>
        <v>No Bonus</v>
      </c>
      <c r="M24" t="str">
        <f>TEXT(H24,"MMM")</f>
        <v>Mar</v>
      </c>
      <c r="N24">
        <f>Table1[[#This Row],[total sales]]*20%</f>
        <v>20000</v>
      </c>
    </row>
    <row r="25" spans="1:14" x14ac:dyDescent="0.35">
      <c r="A25" t="s">
        <v>68</v>
      </c>
      <c r="B25" t="s">
        <v>50</v>
      </c>
      <c r="C25" t="s">
        <v>45</v>
      </c>
      <c r="D25" t="s">
        <v>40</v>
      </c>
      <c r="E25" t="s">
        <v>25</v>
      </c>
      <c r="F25" t="s">
        <v>10</v>
      </c>
      <c r="G25">
        <v>2</v>
      </c>
      <c r="H25" s="1">
        <v>45366</v>
      </c>
      <c r="I25" t="s">
        <v>11</v>
      </c>
      <c r="J25">
        <f>_xlfn.XLOOKUP(E25,'Price List'!$A$1:$A$9,'Price List'!$B$1:$B$9,"no match",0)</f>
        <v>55000</v>
      </c>
      <c r="K25">
        <f>G25*J25</f>
        <v>110000</v>
      </c>
      <c r="L25" t="str">
        <f>IF(AND(K25&gt;100000,I25="Delivered"),"Bonus","No Bonus")</f>
        <v>Bonus</v>
      </c>
      <c r="M25" t="str">
        <f>TEXT(H25,"MMM")</f>
        <v>Mar</v>
      </c>
      <c r="N25">
        <f>Table1[[#This Row],[total sales]]*20%</f>
        <v>22000</v>
      </c>
    </row>
    <row r="26" spans="1:14" x14ac:dyDescent="0.35">
      <c r="A26" t="s">
        <v>69</v>
      </c>
      <c r="B26" t="s">
        <v>53</v>
      </c>
      <c r="C26" t="s">
        <v>48</v>
      </c>
      <c r="D26" t="s">
        <v>41</v>
      </c>
      <c r="E26" t="s">
        <v>22</v>
      </c>
      <c r="F26" t="s">
        <v>14</v>
      </c>
      <c r="G26">
        <v>1</v>
      </c>
      <c r="H26" s="1">
        <v>45371</v>
      </c>
      <c r="I26" t="s">
        <v>11</v>
      </c>
      <c r="J26">
        <f>_xlfn.XLOOKUP(E26,'Price List'!$A$1:$A$9,'Price List'!$B$1:$B$9,"no match",0)</f>
        <v>95000</v>
      </c>
      <c r="K26">
        <f>G26*J26</f>
        <v>95000</v>
      </c>
      <c r="L26" t="str">
        <f>IF(AND(K26&gt;100000,I26="Delivered"),"Bonus","No Bonus")</f>
        <v>No Bonus</v>
      </c>
      <c r="M26" t="str">
        <f>TEXT(H26,"MMM")</f>
        <v>Mar</v>
      </c>
      <c r="N26">
        <f>Table1[[#This Row],[total sales]]*20%</f>
        <v>19000</v>
      </c>
    </row>
  </sheetData>
  <sortState xmlns:xlrd2="http://schemas.microsoft.com/office/spreadsheetml/2017/richdata2" ref="A2:M26">
    <sortCondition ref="H2:H26"/>
  </sortState>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F13BB-026F-4152-B1B5-9AB464FD0296}">
  <dimension ref="A3:E17"/>
  <sheetViews>
    <sheetView workbookViewId="0">
      <selection activeCell="K13" sqref="K13"/>
    </sheetView>
  </sheetViews>
  <sheetFormatPr defaultRowHeight="14.5" x14ac:dyDescent="0.35"/>
  <cols>
    <col min="1" max="2" width="15.6328125" bestFit="1" customWidth="1"/>
    <col min="3" max="4" width="6.81640625" bestFit="1" customWidth="1"/>
    <col min="5" max="5" width="10.36328125" bestFit="1" customWidth="1"/>
  </cols>
  <sheetData>
    <row r="3" spans="1:5" x14ac:dyDescent="0.35">
      <c r="A3" s="12" t="s">
        <v>117</v>
      </c>
      <c r="B3" s="12" t="s">
        <v>121</v>
      </c>
    </row>
    <row r="4" spans="1:5" x14ac:dyDescent="0.35">
      <c r="A4" s="12" t="s">
        <v>115</v>
      </c>
      <c r="B4" t="s">
        <v>118</v>
      </c>
      <c r="C4" t="s">
        <v>119</v>
      </c>
      <c r="D4" t="s">
        <v>120</v>
      </c>
      <c r="E4" t="s">
        <v>116</v>
      </c>
    </row>
    <row r="5" spans="1:5" x14ac:dyDescent="0.35">
      <c r="A5" s="13" t="s">
        <v>47</v>
      </c>
      <c r="B5" s="14">
        <v>400000</v>
      </c>
      <c r="C5" s="14">
        <v>245000</v>
      </c>
      <c r="D5" s="14">
        <v>100000</v>
      </c>
      <c r="E5" s="14">
        <v>745000</v>
      </c>
    </row>
    <row r="6" spans="1:5" x14ac:dyDescent="0.35">
      <c r="A6" s="13" t="s">
        <v>116</v>
      </c>
      <c r="B6" s="14">
        <v>400000</v>
      </c>
      <c r="C6" s="14">
        <v>245000</v>
      </c>
      <c r="D6" s="14">
        <v>100000</v>
      </c>
      <c r="E6" s="14">
        <v>745000</v>
      </c>
    </row>
    <row r="13" spans="1:5" x14ac:dyDescent="0.35">
      <c r="A13" t="s">
        <v>115</v>
      </c>
      <c r="B13" t="s">
        <v>118</v>
      </c>
      <c r="C13" t="s">
        <v>119</v>
      </c>
      <c r="D13" t="s">
        <v>120</v>
      </c>
      <c r="E13" t="s">
        <v>124</v>
      </c>
    </row>
    <row r="14" spans="1:5" x14ac:dyDescent="0.35">
      <c r="A14" t="s">
        <v>53</v>
      </c>
      <c r="B14">
        <v>260000</v>
      </c>
      <c r="C14">
        <v>145000</v>
      </c>
      <c r="D14">
        <v>305000</v>
      </c>
    </row>
    <row r="15" spans="1:5" x14ac:dyDescent="0.35">
      <c r="A15" t="s">
        <v>44</v>
      </c>
      <c r="B15">
        <v>470000</v>
      </c>
      <c r="C15">
        <v>190000</v>
      </c>
      <c r="D15">
        <v>90000</v>
      </c>
    </row>
    <row r="16" spans="1:5" x14ac:dyDescent="0.35">
      <c r="A16" t="s">
        <v>47</v>
      </c>
      <c r="B16">
        <v>400000</v>
      </c>
      <c r="C16">
        <v>245000</v>
      </c>
      <c r="D16">
        <v>100000</v>
      </c>
    </row>
    <row r="17" spans="1:4" x14ac:dyDescent="0.35">
      <c r="A17" t="s">
        <v>50</v>
      </c>
      <c r="B17">
        <v>470000</v>
      </c>
      <c r="C17">
        <v>385000</v>
      </c>
      <c r="D17">
        <v>110000</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7A8F1632-675C-4E9C-8FB9-182139EFF020}">
          <x14:colorSeries rgb="FF376092"/>
          <x14:colorNegative rgb="FFD00000"/>
          <x14:colorAxis rgb="FF000000"/>
          <x14:colorMarkers rgb="FFD00000"/>
          <x14:colorFirst rgb="FFD00000"/>
          <x14:colorLast rgb="FFD00000"/>
          <x14:colorHigh rgb="FFD00000"/>
          <x14:colorLow rgb="FFD00000"/>
          <x14:sparklines>
            <x14:sparkline>
              <xm:f>sparklines!B14:D14</xm:f>
              <xm:sqref>E14</xm:sqref>
            </x14:sparkline>
            <x14:sparkline>
              <xm:f>sparklines!B15:D15</xm:f>
              <xm:sqref>E15</xm:sqref>
            </x14:sparkline>
            <x14:sparkline>
              <xm:f>sparklines!B16:D16</xm:f>
              <xm:sqref>E16</xm:sqref>
            </x14:sparkline>
            <x14:sparkline>
              <xm:f>sparklines!B17:D17</xm:f>
              <xm:sqref>E17</xm:sqref>
            </x14:sparkline>
          </x14:sparklines>
        </x14:sparklineGroup>
        <x14:sparklineGroup displayEmptyCellsAs="gap" high="1" low="1" first="1" last="1" xr2:uid="{CD09C26A-1287-43A0-B5CD-55822B19EFD0}">
          <x14:colorSeries theme="3" tint="0.34998626667073579"/>
          <x14:colorNegative theme="0" tint="-0.249977111117893"/>
          <x14:colorAxis rgb="FF000000"/>
          <x14:colorMarkers theme="0" tint="-0.249977111117893"/>
          <x14:colorFirst theme="0" tint="-0.249977111117893"/>
          <x14:colorLast theme="0" tint="-0.249977111117893"/>
          <x14:colorHigh theme="0" tint="-0.249977111117893"/>
          <x14:colorLow theme="0" tint="-0.249977111117893"/>
          <x14:sparklines>
            <x14:sparkline>
              <xm:f>sparklines!A3:A3</xm:f>
              <xm:sqref>G6</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27731-8D2F-4EDA-9495-B3FD494EE195}">
  <dimension ref="A1:B9"/>
  <sheetViews>
    <sheetView workbookViewId="0">
      <selection activeCell="E11" sqref="E11"/>
    </sheetView>
  </sheetViews>
  <sheetFormatPr defaultRowHeight="14.5" x14ac:dyDescent="0.35"/>
  <cols>
    <col min="1" max="1" width="11.54296875" bestFit="1" customWidth="1"/>
    <col min="2" max="2" width="9.1796875" bestFit="1" customWidth="1"/>
  </cols>
  <sheetData>
    <row r="1" spans="1:2" x14ac:dyDescent="0.35">
      <c r="A1" t="s">
        <v>3</v>
      </c>
      <c r="B1" t="s">
        <v>42</v>
      </c>
    </row>
    <row r="2" spans="1:2" x14ac:dyDescent="0.35">
      <c r="A2" t="s">
        <v>9</v>
      </c>
      <c r="B2">
        <v>70000</v>
      </c>
    </row>
    <row r="3" spans="1:2" x14ac:dyDescent="0.35">
      <c r="A3" t="s">
        <v>20</v>
      </c>
      <c r="B3">
        <v>65000</v>
      </c>
    </row>
    <row r="4" spans="1:2" x14ac:dyDescent="0.35">
      <c r="A4" t="s">
        <v>25</v>
      </c>
      <c r="B4">
        <v>55000</v>
      </c>
    </row>
    <row r="5" spans="1:2" x14ac:dyDescent="0.35">
      <c r="A5" t="s">
        <v>13</v>
      </c>
      <c r="B5">
        <v>90000</v>
      </c>
    </row>
    <row r="6" spans="1:2" x14ac:dyDescent="0.35">
      <c r="A6" t="s">
        <v>22</v>
      </c>
      <c r="B6">
        <v>95000</v>
      </c>
    </row>
    <row r="7" spans="1:2" x14ac:dyDescent="0.35">
      <c r="A7" t="s">
        <v>27</v>
      </c>
      <c r="B7">
        <v>110000</v>
      </c>
    </row>
    <row r="8" spans="1:2" x14ac:dyDescent="0.35">
      <c r="A8" t="s">
        <v>16</v>
      </c>
      <c r="B8">
        <v>60000</v>
      </c>
    </row>
    <row r="9" spans="1:2" x14ac:dyDescent="0.35">
      <c r="A9" t="s">
        <v>29</v>
      </c>
      <c r="B9">
        <v>25000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D1974-FA45-4CDF-8627-CD4E36F51003}">
  <dimension ref="A1:E38"/>
  <sheetViews>
    <sheetView workbookViewId="0">
      <selection activeCell="A30" sqref="A30:A38"/>
    </sheetView>
  </sheetViews>
  <sheetFormatPr defaultRowHeight="14.5" x14ac:dyDescent="0.35"/>
  <sheetData>
    <row r="1" spans="1:5" x14ac:dyDescent="0.35">
      <c r="A1" t="s">
        <v>76</v>
      </c>
    </row>
    <row r="2" spans="1:5" x14ac:dyDescent="0.35">
      <c r="A2" t="s">
        <v>0</v>
      </c>
    </row>
    <row r="3" spans="1:5" x14ac:dyDescent="0.35">
      <c r="A3" t="s">
        <v>43</v>
      </c>
      <c r="B3" t="s">
        <v>44</v>
      </c>
      <c r="C3" t="s">
        <v>77</v>
      </c>
      <c r="D3">
        <v>1</v>
      </c>
      <c r="E3" t="s">
        <v>78</v>
      </c>
    </row>
    <row r="4" spans="1:5" x14ac:dyDescent="0.35">
      <c r="A4" t="s">
        <v>46</v>
      </c>
      <c r="B4" t="s">
        <v>47</v>
      </c>
      <c r="C4" t="s">
        <v>79</v>
      </c>
      <c r="D4">
        <v>1</v>
      </c>
      <c r="E4" t="s">
        <v>78</v>
      </c>
    </row>
    <row r="5" spans="1:5" x14ac:dyDescent="0.35">
      <c r="A5" t="s">
        <v>49</v>
      </c>
      <c r="B5" t="s">
        <v>50</v>
      </c>
      <c r="C5" t="s">
        <v>80</v>
      </c>
      <c r="D5">
        <v>1</v>
      </c>
      <c r="E5" t="s">
        <v>81</v>
      </c>
    </row>
    <row r="6" spans="1:5" x14ac:dyDescent="0.35">
      <c r="A6" t="s">
        <v>52</v>
      </c>
      <c r="B6" t="s">
        <v>53</v>
      </c>
      <c r="C6" t="s">
        <v>82</v>
      </c>
      <c r="D6">
        <v>1</v>
      </c>
      <c r="E6" t="s">
        <v>78</v>
      </c>
    </row>
    <row r="7" spans="1:5" x14ac:dyDescent="0.35">
      <c r="A7" t="s">
        <v>54</v>
      </c>
      <c r="B7" t="s">
        <v>44</v>
      </c>
      <c r="C7" t="s">
        <v>83</v>
      </c>
      <c r="D7">
        <v>1</v>
      </c>
      <c r="E7" t="s">
        <v>84</v>
      </c>
    </row>
    <row r="8" spans="1:5" x14ac:dyDescent="0.35">
      <c r="A8" t="s">
        <v>55</v>
      </c>
      <c r="B8" t="s">
        <v>47</v>
      </c>
      <c r="C8" t="s">
        <v>85</v>
      </c>
      <c r="D8">
        <v>1</v>
      </c>
      <c r="E8" t="s">
        <v>78</v>
      </c>
    </row>
    <row r="9" spans="1:5" x14ac:dyDescent="0.35">
      <c r="A9" t="s">
        <v>56</v>
      </c>
      <c r="B9" t="s">
        <v>50</v>
      </c>
      <c r="C9" t="s">
        <v>86</v>
      </c>
      <c r="D9">
        <v>1</v>
      </c>
      <c r="E9" t="s">
        <v>78</v>
      </c>
    </row>
    <row r="10" spans="1:5" x14ac:dyDescent="0.35">
      <c r="A10" t="s">
        <v>57</v>
      </c>
      <c r="B10" t="s">
        <v>53</v>
      </c>
      <c r="C10" t="s">
        <v>87</v>
      </c>
      <c r="D10">
        <v>2</v>
      </c>
      <c r="E10" t="s">
        <v>81</v>
      </c>
    </row>
    <row r="11" spans="1:5" x14ac:dyDescent="0.35">
      <c r="A11" t="s">
        <v>58</v>
      </c>
      <c r="B11" t="s">
        <v>44</v>
      </c>
      <c r="C11" t="s">
        <v>88</v>
      </c>
      <c r="D11">
        <v>2</v>
      </c>
      <c r="E11" t="s">
        <v>78</v>
      </c>
    </row>
    <row r="12" spans="1:5" x14ac:dyDescent="0.35">
      <c r="A12" t="s">
        <v>59</v>
      </c>
      <c r="B12" t="s">
        <v>47</v>
      </c>
      <c r="C12" t="s">
        <v>89</v>
      </c>
      <c r="D12">
        <v>2</v>
      </c>
      <c r="E12" t="s">
        <v>78</v>
      </c>
    </row>
    <row r="13" spans="1:5" x14ac:dyDescent="0.35">
      <c r="A13" t="s">
        <v>60</v>
      </c>
      <c r="B13" t="s">
        <v>50</v>
      </c>
      <c r="C13" t="s">
        <v>90</v>
      </c>
      <c r="D13">
        <v>2</v>
      </c>
      <c r="E13" t="s">
        <v>78</v>
      </c>
    </row>
    <row r="14" spans="1:5" x14ac:dyDescent="0.35">
      <c r="A14" t="s">
        <v>61</v>
      </c>
      <c r="B14" t="s">
        <v>53</v>
      </c>
      <c r="C14" t="s">
        <v>91</v>
      </c>
      <c r="D14">
        <v>2</v>
      </c>
      <c r="E14" t="s">
        <v>78</v>
      </c>
    </row>
    <row r="15" spans="1:5" x14ac:dyDescent="0.35">
      <c r="A15" t="s">
        <v>62</v>
      </c>
      <c r="B15" t="s">
        <v>44</v>
      </c>
      <c r="C15" t="s">
        <v>92</v>
      </c>
      <c r="D15">
        <v>2</v>
      </c>
      <c r="E15" t="s">
        <v>81</v>
      </c>
    </row>
    <row r="16" spans="1:5" x14ac:dyDescent="0.35">
      <c r="A16" t="s">
        <v>63</v>
      </c>
      <c r="B16" t="s">
        <v>47</v>
      </c>
      <c r="C16" t="s">
        <v>93</v>
      </c>
      <c r="D16">
        <v>2</v>
      </c>
      <c r="E16" t="s">
        <v>78</v>
      </c>
    </row>
    <row r="17" spans="1:5" x14ac:dyDescent="0.35">
      <c r="A17" t="s">
        <v>64</v>
      </c>
      <c r="B17" t="s">
        <v>50</v>
      </c>
      <c r="C17" t="s">
        <v>94</v>
      </c>
      <c r="D17">
        <v>2</v>
      </c>
      <c r="E17" t="s">
        <v>78</v>
      </c>
    </row>
    <row r="18" spans="1:5" x14ac:dyDescent="0.35">
      <c r="A18" t="s">
        <v>65</v>
      </c>
      <c r="B18" t="s">
        <v>53</v>
      </c>
      <c r="C18" t="s">
        <v>95</v>
      </c>
      <c r="D18">
        <v>3</v>
      </c>
      <c r="E18" t="s">
        <v>78</v>
      </c>
    </row>
    <row r="19" spans="1:5" x14ac:dyDescent="0.35">
      <c r="A19" t="s">
        <v>66</v>
      </c>
      <c r="B19" t="s">
        <v>44</v>
      </c>
      <c r="C19" t="s">
        <v>96</v>
      </c>
      <c r="D19">
        <v>3</v>
      </c>
      <c r="E19" t="s">
        <v>81</v>
      </c>
    </row>
    <row r="20" spans="1:5" x14ac:dyDescent="0.35">
      <c r="A20" t="s">
        <v>67</v>
      </c>
      <c r="B20" t="s">
        <v>47</v>
      </c>
      <c r="C20" t="s">
        <v>97</v>
      </c>
      <c r="D20">
        <v>3</v>
      </c>
      <c r="E20" t="s">
        <v>78</v>
      </c>
    </row>
    <row r="21" spans="1:5" x14ac:dyDescent="0.35">
      <c r="A21" t="s">
        <v>68</v>
      </c>
      <c r="B21" t="s">
        <v>50</v>
      </c>
      <c r="C21" t="s">
        <v>98</v>
      </c>
      <c r="D21">
        <v>3</v>
      </c>
      <c r="E21" t="s">
        <v>78</v>
      </c>
    </row>
    <row r="22" spans="1:5" x14ac:dyDescent="0.35">
      <c r="A22" t="s">
        <v>69</v>
      </c>
      <c r="B22" t="s">
        <v>53</v>
      </c>
      <c r="C22" t="s">
        <v>99</v>
      </c>
      <c r="D22">
        <v>3</v>
      </c>
      <c r="E22" t="s">
        <v>78</v>
      </c>
    </row>
    <row r="23" spans="1:5" x14ac:dyDescent="0.35">
      <c r="A23" t="s">
        <v>70</v>
      </c>
      <c r="B23" t="s">
        <v>44</v>
      </c>
      <c r="C23" t="s">
        <v>77</v>
      </c>
      <c r="D23">
        <v>1</v>
      </c>
      <c r="E23" t="s">
        <v>78</v>
      </c>
    </row>
    <row r="24" spans="1:5" x14ac:dyDescent="0.35">
      <c r="A24" t="s">
        <v>71</v>
      </c>
      <c r="B24" t="s">
        <v>47</v>
      </c>
      <c r="C24" t="s">
        <v>79</v>
      </c>
      <c r="D24">
        <v>1</v>
      </c>
      <c r="E24" t="s">
        <v>78</v>
      </c>
    </row>
    <row r="25" spans="1:5" x14ac:dyDescent="0.35">
      <c r="A25" t="s">
        <v>72</v>
      </c>
      <c r="B25" t="s">
        <v>50</v>
      </c>
      <c r="C25" t="s">
        <v>80</v>
      </c>
      <c r="D25">
        <v>1</v>
      </c>
      <c r="E25" t="s">
        <v>81</v>
      </c>
    </row>
    <row r="26" spans="1:5" x14ac:dyDescent="0.35">
      <c r="A26" t="s">
        <v>73</v>
      </c>
      <c r="B26" t="s">
        <v>53</v>
      </c>
      <c r="C26" t="s">
        <v>82</v>
      </c>
      <c r="D26">
        <v>1</v>
      </c>
      <c r="E26" t="s">
        <v>78</v>
      </c>
    </row>
    <row r="27" spans="1:5" x14ac:dyDescent="0.35">
      <c r="A27" t="s">
        <v>74</v>
      </c>
      <c r="B27" t="s">
        <v>44</v>
      </c>
      <c r="C27" t="s">
        <v>83</v>
      </c>
      <c r="D27">
        <v>1</v>
      </c>
      <c r="E27" t="s">
        <v>84</v>
      </c>
    </row>
    <row r="29" spans="1:5" x14ac:dyDescent="0.35">
      <c r="A29" t="s">
        <v>100</v>
      </c>
    </row>
    <row r="30" spans="1:5" x14ac:dyDescent="0.35">
      <c r="A30" t="s">
        <v>101</v>
      </c>
    </row>
    <row r="31" spans="1:5" x14ac:dyDescent="0.35">
      <c r="A31" t="s">
        <v>102</v>
      </c>
    </row>
    <row r="32" spans="1:5" x14ac:dyDescent="0.35">
      <c r="A32" t="s">
        <v>103</v>
      </c>
    </row>
    <row r="33" spans="1:1" x14ac:dyDescent="0.35">
      <c r="A33" t="s">
        <v>104</v>
      </c>
    </row>
    <row r="34" spans="1:1" x14ac:dyDescent="0.35">
      <c r="A34" t="s">
        <v>105</v>
      </c>
    </row>
    <row r="35" spans="1:1" x14ac:dyDescent="0.35">
      <c r="A35" t="s">
        <v>106</v>
      </c>
    </row>
    <row r="36" spans="1:1" x14ac:dyDescent="0.35">
      <c r="A36" t="s">
        <v>107</v>
      </c>
    </row>
    <row r="37" spans="1:1" x14ac:dyDescent="0.35">
      <c r="A37" t="s">
        <v>108</v>
      </c>
    </row>
    <row r="38" spans="1:1" x14ac:dyDescent="0.35">
      <c r="A38"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Pivot Table Analysis</vt:lpstr>
      <vt:lpstr>Salesman Performance</vt:lpstr>
      <vt:lpstr>Monthly Sales Trend</vt:lpstr>
      <vt:lpstr>Category Sales</vt:lpstr>
      <vt:lpstr>Profit Flow</vt:lpstr>
      <vt:lpstr>Dashboard</vt:lpstr>
      <vt:lpstr>Sales Data</vt:lpstr>
      <vt:lpstr>sparklines</vt:lpstr>
      <vt:lpstr>Price List</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 khatik</dc:creator>
  <cp:lastModifiedBy>hrithik khatik</cp:lastModifiedBy>
  <dcterms:created xsi:type="dcterms:W3CDTF">2026-03-08T03:35:30Z</dcterms:created>
  <dcterms:modified xsi:type="dcterms:W3CDTF">2026-03-08T12:21:57Z</dcterms:modified>
</cp:coreProperties>
</file>