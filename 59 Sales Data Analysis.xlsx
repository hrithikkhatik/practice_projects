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8_{98D32AEA-7BF6-4CE7-A0D1-1D9F5F35FFE4}" xr6:coauthVersionLast="47" xr6:coauthVersionMax="47" xr10:uidLastSave="{00000000-0000-0000-0000-000000000000}"/>
  <bookViews>
    <workbookView xWindow="-110" yWindow="-110" windowWidth="21820" windowHeight="13900" xr2:uid="{561A7B21-72BE-4BCC-AA7E-0F4407F7EB85}"/>
  </bookViews>
  <sheets>
    <sheet name="sales data" sheetId="1" r:id="rId1"/>
    <sheet name="Sales by Product" sheetId="4" r:id="rId2"/>
    <sheet name="Sales by Region" sheetId="5" r:id="rId3"/>
    <sheet name="Sales by Salesperson" sheetId="6" r:id="rId4"/>
    <sheet name="Monthly Sales" sheetId="7" r:id="rId5"/>
  </sheets>
  <calcPr calcId="191029"/>
  <pivotCaches>
    <pivotCache cacheId="2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H23" i="1"/>
  <c r="H2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" i="1"/>
</calcChain>
</file>

<file path=xl/sharedStrings.xml><?xml version="1.0" encoding="utf-8"?>
<sst xmlns="http://schemas.openxmlformats.org/spreadsheetml/2006/main" count="96" uniqueCount="30">
  <si>
    <t>Date</t>
  </si>
  <si>
    <t>Product</t>
  </si>
  <si>
    <t>Region</t>
  </si>
  <si>
    <t>Salesperson</t>
  </si>
  <si>
    <t>Laptop</t>
  </si>
  <si>
    <t>North</t>
  </si>
  <si>
    <t>Mobile</t>
  </si>
  <si>
    <t>West</t>
  </si>
  <si>
    <t>Rahul</t>
  </si>
  <si>
    <t>Tablet</t>
  </si>
  <si>
    <t>South</t>
  </si>
  <si>
    <t>East</t>
  </si>
  <si>
    <t>Order_ID</t>
  </si>
  <si>
    <t>Units_Sold</t>
  </si>
  <si>
    <t>Unit_Price</t>
  </si>
  <si>
    <t>Total_Sales</t>
  </si>
  <si>
    <t>Amit</t>
  </si>
  <si>
    <t>Priya</t>
  </si>
  <si>
    <t>Sneha</t>
  </si>
  <si>
    <t>NA</t>
  </si>
  <si>
    <t>total sales</t>
  </si>
  <si>
    <t>average</t>
  </si>
  <si>
    <t>total unit sold</t>
  </si>
  <si>
    <t>Row Labels</t>
  </si>
  <si>
    <t>Grand Total</t>
  </si>
  <si>
    <t>Jan</t>
  </si>
  <si>
    <t>Feb</t>
  </si>
  <si>
    <t>Mar</t>
  </si>
  <si>
    <t>May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</si>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</sst>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[59 Sales Data Analysis.xlsx]Sales by Product!PivotTable3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Product'!$A$4:$A$7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'Sales by Product'!$B$4:$B$7</c:f>
              <c:numCache>
                <c:formatCode>General</c:formatCode>
                <c:ptCount val="3"/>
                <c:pt idx="0">
                  <c:v>1485000</c:v>
                </c:pt>
                <c:pt idx="1">
                  <c:v>960000</c:v>
                </c:pt>
                <c:pt idx="2">
                  <c:v>525000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C-4749-BCFF-2C65F53A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0809007"/>
        <c:axId val="799328463"/>
      </c:barChart>
      <c:catAx>
        <c:axId val="8008090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9328463"/>
        <c:crosses val="autoZero"/>
        <c:auto val="1"/>
        <c:lblAlgn val="ctr"/>
        <c:lblOffset val="100"/>
        <c:noMultiLvlLbl val="0"/>
      </c:catAx>
      <c:valAx>
        <c:axId val="79932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0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[59 Sales Data Analysis.xlsx]Sales by Region!PivotTable4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by Region'!$B$1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'Sales by Region'!$A$2:$A$6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Region'!$B$2:$B$6</c:f>
              <c:numCache>
                <c:formatCode>General</c:formatCode>
                <c:ptCount val="4"/>
                <c:pt idx="0">
                  <c:v>885000</c:v>
                </c:pt>
                <c:pt idx="1">
                  <c:v>1040000</c:v>
                </c:pt>
                <c:pt idx="2">
                  <c:v>475000</c:v>
                </c:pt>
                <c:pt idx="3">
                  <c:v>570000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73-4689-A89C-9AA39DBBA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[59 Sales Data Analysis.xlsx]Monthly Sales!PivotTable6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Sales'!$A$2:$A$6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May</c:v>
                </c:pt>
              </c:strCache>
            </c:strRef>
          </c:cat>
          <c:val>
            <c:numRef>
              <c:f>'Monthly Sales'!$B$2:$B$6</c:f>
              <c:numCache>
                <c:formatCode>General</c:formatCode>
                <c:ptCount val="4"/>
                <c:pt idx="0">
                  <c:v>1555000</c:v>
                </c:pt>
                <c:pt idx="1">
                  <c:v>1110000</c:v>
                </c:pt>
                <c:pt idx="2">
                  <c:v>200000</c:v>
                </c:pt>
                <c:pt idx="3">
                  <c:v>105000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4B-4C4D-8842-184F67B09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004015"/>
        <c:axId val="788958431"/>
      </c:lineChart>
      <c:catAx>
        <c:axId val="895004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958431"/>
        <c:crosses val="autoZero"/>
        <c:auto val="1"/>
        <c:lblAlgn val="ctr"/>
        <c:lblOffset val="100"/>
        <c:noMultiLvlLbl val="0"/>
      </c:catAx>
      <c:valAx>
        <c:axId val="78895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004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584200</xdr:colOff>
      <xdr:row>0</xdr:row>
      <xdr:rowOff>158750</xdr:rowOff>
    </xdr:from>
    <xdr:to>
      <xdr:col>10</xdr:col>
      <xdr:colOff>38100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1CAE3-2AF8-5495-A442-F125D55732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133350</xdr:rowOff>
    </xdr:from>
    <xdr:to>
      <xdr:col>10</xdr:col>
      <xdr:colOff>390525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96792-3B1B-F2D2-0513-6242D80CA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536575</xdr:colOff>
      <xdr:row>1</xdr:row>
      <xdr:rowOff>146050</xdr:rowOff>
    </xdr:from>
    <xdr:to>
      <xdr:col>10</xdr:col>
      <xdr:colOff>231775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AFF79-82BB-2B03-4300-511AEA340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hik" refreshedDate="46086.522124189818" createdVersion="8" refreshedVersion="8" minRefreshableVersion="3" recordCount="19" xr:uid="{EC15A935-3FD4-4746-8F31-024C2AA32262}">
  <cacheSource type="worksheet">
    <worksheetSource ref="A1:H20" sheet="sales data"/>
  </cacheSource>
  <cacheFields count="10">
    <cacheField name="Order_ID" numFmtId="0">
      <sharedItems containsSemiMixedTypes="0" containsString="0" containsNumber="1" containsInteger="1" minValue="1001" maxValue="1019"/>
    </cacheField>
    <cacheField name="Date" numFmtId="14">
      <sharedItems containsSemiMixedTypes="0" containsNonDate="0" containsDate="1" containsString="0" minDate="2024-01-01T00:00:00" maxDate="2024-05-02T00:00:00" count="19">
        <d v="2024-01-01T00:00:00"/>
        <d v="2024-03-01T00:00:00"/>
        <d v="2024-05-01T00:00:00"/>
        <d v="2024-01-07T00:00:00"/>
        <d v="2024-01-09T00:00:00"/>
        <d v="2024-01-12T00:00:00"/>
        <d v="2024-01-15T00:00:00"/>
        <d v="2024-01-18T00:00:00"/>
        <d v="2024-01-20T00:00:00"/>
        <d v="2024-01-22T00:00:00"/>
        <d v="2024-01-25T00:00:00"/>
        <d v="2024-01-28T00:00:00"/>
        <d v="2024-02-02T00:00:00"/>
        <d v="2024-02-05T00:00:00"/>
        <d v="2024-02-07T00:00:00"/>
        <d v="2024-02-10T00:00:00"/>
        <d v="2024-02-12T00:00:00"/>
        <d v="2024-02-15T00:00:00"/>
        <d v="2024-02-18T00:00:00"/>
      </sharedItems>
      <fieldGroup par="9"/>
    </cacheField>
    <cacheField name="Product" numFmtId="0">
      <sharedItems count="3">
        <s v="Laptop"/>
        <s v="Mobile"/>
        <s v="Tablet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Amit"/>
        <s v="Priya"/>
        <s v="Rahul"/>
        <s v="Sneha"/>
      </sharedItems>
    </cacheField>
    <cacheField name="Units_Sold" numFmtId="0">
      <sharedItems containsMixedTypes="1" containsNumber="1" containsInteger="1" minValue="2" maxValue="11"/>
    </cacheField>
    <cacheField name="Unit_Price" numFmtId="0">
      <sharedItems containsSemiMixedTypes="0" containsString="0" containsNumber="1" containsInteger="1" minValue="15000" maxValue="55000"/>
    </cacheField>
    <cacheField name="Total_Sales" numFmtId="0">
      <sharedItems containsMixedTypes="1" containsNumber="1" containsInteger="1" minValue="60000" maxValue="330000" count="14">
        <n v="275000"/>
        <n v="200000"/>
        <n v="105000"/>
        <n v="165000"/>
        <n v="160000"/>
        <n v="90000"/>
        <n v="220000"/>
        <n v="180000"/>
        <n v="75000"/>
        <n v="110000"/>
        <n v="60000"/>
        <n v="330000"/>
        <s v="NA"/>
        <n v="120000"/>
      </sharedItems>
    </cacheField>
    <cacheField name="Days (Date)" numFmtId="0" databaseField="0">
      <fieldGroup base="1">
        <rangePr groupBy="days" startDate="2024-01-01T00:00:00" endDate="2024-05-02T00:00:00"/>
        <groupItems count="368">
          <s v="&lt;1/1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2/2024"/>
        </groupItems>
      </fieldGroup>
    </cacheField>
    <cacheField name="Months (Date)" numFmtId="0" databaseField="0">
      <fieldGroup base="1">
        <rangePr groupBy="months" startDate="2024-01-01T00:00:00" endDate="2024-05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1001"/>
    <x v="0"/>
    <x v="0"/>
    <x v="0"/>
    <x v="0"/>
    <n v="5"/>
    <n v="55000"/>
    <x v="0"/>
  </r>
  <r>
    <n v="1002"/>
    <x v="1"/>
    <x v="1"/>
    <x v="1"/>
    <x v="1"/>
    <n v="10"/>
    <n v="20000"/>
    <x v="1"/>
  </r>
  <r>
    <n v="1003"/>
    <x v="2"/>
    <x v="2"/>
    <x v="2"/>
    <x v="2"/>
    <n v="7"/>
    <n v="15000"/>
    <x v="2"/>
  </r>
  <r>
    <n v="1004"/>
    <x v="3"/>
    <x v="0"/>
    <x v="3"/>
    <x v="3"/>
    <n v="3"/>
    <n v="55000"/>
    <x v="3"/>
  </r>
  <r>
    <n v="1005"/>
    <x v="4"/>
    <x v="1"/>
    <x v="0"/>
    <x v="0"/>
    <n v="8"/>
    <n v="20000"/>
    <x v="4"/>
  </r>
  <r>
    <n v="1006"/>
    <x v="5"/>
    <x v="2"/>
    <x v="1"/>
    <x v="1"/>
    <n v="6"/>
    <n v="15000"/>
    <x v="5"/>
  </r>
  <r>
    <n v="1007"/>
    <x v="6"/>
    <x v="0"/>
    <x v="2"/>
    <x v="2"/>
    <n v="4"/>
    <n v="55000"/>
    <x v="6"/>
  </r>
  <r>
    <n v="1008"/>
    <x v="7"/>
    <x v="1"/>
    <x v="3"/>
    <x v="3"/>
    <n v="9"/>
    <n v="20000"/>
    <x v="7"/>
  </r>
  <r>
    <n v="1009"/>
    <x v="8"/>
    <x v="2"/>
    <x v="0"/>
    <x v="0"/>
    <n v="5"/>
    <n v="15000"/>
    <x v="8"/>
  </r>
  <r>
    <n v="1010"/>
    <x v="9"/>
    <x v="0"/>
    <x v="1"/>
    <x v="1"/>
    <n v="2"/>
    <n v="55000"/>
    <x v="9"/>
  </r>
  <r>
    <n v="1011"/>
    <x v="10"/>
    <x v="1"/>
    <x v="2"/>
    <x v="2"/>
    <n v="11"/>
    <n v="20000"/>
    <x v="6"/>
  </r>
  <r>
    <n v="1012"/>
    <x v="11"/>
    <x v="2"/>
    <x v="3"/>
    <x v="3"/>
    <n v="4"/>
    <n v="15000"/>
    <x v="10"/>
  </r>
  <r>
    <n v="1013"/>
    <x v="12"/>
    <x v="0"/>
    <x v="0"/>
    <x v="0"/>
    <n v="6"/>
    <n v="55000"/>
    <x v="11"/>
  </r>
  <r>
    <n v="1014"/>
    <x v="13"/>
    <x v="1"/>
    <x v="1"/>
    <x v="1"/>
    <s v="NA"/>
    <n v="20000"/>
    <x v="12"/>
  </r>
  <r>
    <n v="1015"/>
    <x v="14"/>
    <x v="2"/>
    <x v="2"/>
    <x v="2"/>
    <n v="8"/>
    <n v="15000"/>
    <x v="13"/>
  </r>
  <r>
    <n v="1016"/>
    <x v="15"/>
    <x v="0"/>
    <x v="3"/>
    <x v="3"/>
    <n v="3"/>
    <n v="55000"/>
    <x v="3"/>
  </r>
  <r>
    <n v="1017"/>
    <x v="16"/>
    <x v="1"/>
    <x v="0"/>
    <x v="0"/>
    <n v="10"/>
    <n v="20000"/>
    <x v="1"/>
  </r>
  <r>
    <n v="1018"/>
    <x v="17"/>
    <x v="2"/>
    <x v="1"/>
    <x v="1"/>
    <n v="5"/>
    <n v="15000"/>
    <x v="8"/>
  </r>
  <r>
    <n v="1019"/>
    <x v="18"/>
    <x v="0"/>
    <x v="2"/>
    <x v="2"/>
    <n v="4"/>
    <n v="5500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618D6-AB2E-43F6-9A2F-98AAB49E5020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B7" firstHeaderRow="1" firstDataRow="1" firstDataCol="1"/>
  <pivotFields count="10">
    <pivotField compact="0" outline="0" showAll="0"/>
    <pivotField compact="0" numFmtId="14" outline="0" showAll="0">
      <items count="20"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5">
        <item x="10"/>
        <item x="8"/>
        <item x="5"/>
        <item x="2"/>
        <item x="9"/>
        <item x="13"/>
        <item x="4"/>
        <item x="3"/>
        <item x="7"/>
        <item x="1"/>
        <item x="6"/>
        <item x="0"/>
        <item x="11"/>
        <item x="12"/>
        <item t="default"/>
      </items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6E04C-DCC2-4F43-8E23-69E7E5140EB0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:B6" firstHeaderRow="1" firstDataRow="1" firstDataCol="1"/>
  <pivotFields count="10">
    <pivotField compact="0" outline="0" showAll="0"/>
    <pivotField compact="0" numFmtId="14" outline="0" showAll="0">
      <items count="20"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15">
        <item x="10"/>
        <item x="8"/>
        <item x="5"/>
        <item x="2"/>
        <item x="9"/>
        <item x="13"/>
        <item x="4"/>
        <item x="3"/>
        <item x="7"/>
        <item x="1"/>
        <item x="6"/>
        <item x="0"/>
        <item x="11"/>
        <item x="12"/>
        <item t="default"/>
      </items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363BA-8F33-42A6-8652-9A5464EB1461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0">
    <pivotField showAll="0"/>
    <pivotField numFmtId="14" showAll="0">
      <items count="20"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t="default"/>
      </items>
    </pivotField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>
      <items count="15">
        <item x="10"/>
        <item x="8"/>
        <item x="5"/>
        <item x="2"/>
        <item x="9"/>
        <item x="13"/>
        <item x="4"/>
        <item x="3"/>
        <item x="7"/>
        <item x="1"/>
        <item x="6"/>
        <item x="0"/>
        <item x="11"/>
        <item x="1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89D172-9D60-4CBB-ADD2-5B35F39030AA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6" firstHeaderRow="1" firstDataRow="1" firstDataCol="1"/>
  <pivotFields count="10">
    <pivotField showAll="0"/>
    <pivotField axis="axisRow" numFmtId="14" showAll="0">
      <items count="20"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15">
        <item x="10"/>
        <item x="8"/>
        <item x="5"/>
        <item x="2"/>
        <item x="9"/>
        <item x="13"/>
        <item x="4"/>
        <item x="3"/>
        <item x="7"/>
        <item x="1"/>
        <item x="6"/>
        <item x="0"/>
        <item x="11"/>
        <item x="12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9"/>
    <field x="1"/>
  </rowFields>
  <rowItems count="5"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7EAB3-572C-464F-B2EE-B736A13F25EB}">
  <dimension ref="A1:H23"/>
  <sheetViews>
    <sheetView tabSelected="1" workbookViewId="0">
      <selection activeCell="M17" sqref="M17"/>
    </sheetView>
  </sheetViews>
  <sheetFormatPr defaultRowHeight="14.5" x14ac:dyDescent="0.35"/>
  <cols>
    <col min="1" max="1" width="8.08984375" bestFit="1" customWidth="1"/>
    <col min="2" max="2" width="24.26953125" bestFit="1" customWidth="1"/>
    <col min="3" max="3" width="7.36328125" bestFit="1" customWidth="1"/>
    <col min="4" max="4" width="6.54296875" bestFit="1" customWidth="1"/>
    <col min="5" max="5" width="11.08984375" bestFit="1" customWidth="1"/>
    <col min="6" max="6" width="9.81640625" bestFit="1" customWidth="1"/>
    <col min="7" max="7" width="9.453125" bestFit="1" customWidth="1"/>
    <col min="8" max="8" width="10.26953125" bestFit="1" customWidth="1"/>
  </cols>
  <sheetData>
    <row r="1" spans="1:8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</v>
      </c>
      <c r="G1" s="1" t="s">
        <v>14</v>
      </c>
      <c r="H1" s="1" t="s">
        <v>15</v>
      </c>
    </row>
    <row r="2" spans="1:8" x14ac:dyDescent="0.35">
      <c r="A2" s="2">
        <v>1001</v>
      </c>
      <c r="B2" s="4">
        <v>45292</v>
      </c>
      <c r="C2" s="2" t="s">
        <v>4</v>
      </c>
      <c r="D2" s="2" t="s">
        <v>5</v>
      </c>
      <c r="E2" s="2" t="s">
        <v>16</v>
      </c>
      <c r="F2" s="2">
        <v>5</v>
      </c>
      <c r="G2" s="2">
        <v>55000</v>
      </c>
      <c r="H2" s="2">
        <f>IFERROR(F2*G2,"NA")</f>
        <v>275000</v>
      </c>
    </row>
    <row r="3" spans="1:8" x14ac:dyDescent="0.35">
      <c r="A3" s="2">
        <v>1002</v>
      </c>
      <c r="B3" s="4">
        <v>45352</v>
      </c>
      <c r="C3" s="2" t="s">
        <v>6</v>
      </c>
      <c r="D3" s="2" t="s">
        <v>10</v>
      </c>
      <c r="E3" s="2" t="s">
        <v>17</v>
      </c>
      <c r="F3" s="2">
        <v>10</v>
      </c>
      <c r="G3" s="2">
        <v>20000</v>
      </c>
      <c r="H3" s="2">
        <f t="shared" ref="H3:H20" si="0">IFERROR(F3*G3,"NA")</f>
        <v>200000</v>
      </c>
    </row>
    <row r="4" spans="1:8" x14ac:dyDescent="0.35">
      <c r="A4" s="2">
        <v>1003</v>
      </c>
      <c r="B4" s="4">
        <v>45413</v>
      </c>
      <c r="C4" s="2" t="s">
        <v>9</v>
      </c>
      <c r="D4" s="2" t="s">
        <v>11</v>
      </c>
      <c r="E4" s="2" t="s">
        <v>8</v>
      </c>
      <c r="F4" s="2">
        <v>7</v>
      </c>
      <c r="G4" s="2">
        <v>15000</v>
      </c>
      <c r="H4" s="2">
        <f t="shared" si="0"/>
        <v>105000</v>
      </c>
    </row>
    <row r="5" spans="1:8" x14ac:dyDescent="0.35">
      <c r="A5" s="2">
        <v>1004</v>
      </c>
      <c r="B5" s="4">
        <v>45298</v>
      </c>
      <c r="C5" s="2" t="s">
        <v>4</v>
      </c>
      <c r="D5" s="2" t="s">
        <v>7</v>
      </c>
      <c r="E5" s="2" t="s">
        <v>18</v>
      </c>
      <c r="F5" s="2">
        <v>3</v>
      </c>
      <c r="G5" s="3">
        <v>55000</v>
      </c>
      <c r="H5" s="2">
        <f t="shared" si="0"/>
        <v>165000</v>
      </c>
    </row>
    <row r="6" spans="1:8" x14ac:dyDescent="0.35">
      <c r="A6" s="2">
        <v>1005</v>
      </c>
      <c r="B6" s="4">
        <v>45300</v>
      </c>
      <c r="C6" s="2" t="s">
        <v>6</v>
      </c>
      <c r="D6" s="2" t="s">
        <v>5</v>
      </c>
      <c r="E6" s="2" t="s">
        <v>16</v>
      </c>
      <c r="F6" s="2">
        <v>8</v>
      </c>
      <c r="G6" s="2">
        <v>20000</v>
      </c>
      <c r="H6" s="2">
        <f t="shared" si="0"/>
        <v>160000</v>
      </c>
    </row>
    <row r="7" spans="1:8" x14ac:dyDescent="0.35">
      <c r="A7" s="2">
        <v>1006</v>
      </c>
      <c r="B7" s="4">
        <v>45303</v>
      </c>
      <c r="C7" s="2" t="s">
        <v>9</v>
      </c>
      <c r="D7" s="2" t="s">
        <v>10</v>
      </c>
      <c r="E7" s="2" t="s">
        <v>17</v>
      </c>
      <c r="F7" s="2">
        <v>6</v>
      </c>
      <c r="G7" s="2">
        <v>15000</v>
      </c>
      <c r="H7" s="2">
        <f t="shared" si="0"/>
        <v>90000</v>
      </c>
    </row>
    <row r="8" spans="1:8" x14ac:dyDescent="0.35">
      <c r="A8" s="2">
        <v>1007</v>
      </c>
      <c r="B8" s="4">
        <v>45306</v>
      </c>
      <c r="C8" s="2" t="s">
        <v>4</v>
      </c>
      <c r="D8" s="2" t="s">
        <v>11</v>
      </c>
      <c r="E8" s="2" t="s">
        <v>8</v>
      </c>
      <c r="F8" s="2">
        <v>4</v>
      </c>
      <c r="G8" s="2">
        <v>55000</v>
      </c>
      <c r="H8" s="2">
        <f t="shared" si="0"/>
        <v>220000</v>
      </c>
    </row>
    <row r="9" spans="1:8" x14ac:dyDescent="0.35">
      <c r="A9" s="2">
        <v>1008</v>
      </c>
      <c r="B9" s="4">
        <v>45309</v>
      </c>
      <c r="C9" s="2" t="s">
        <v>6</v>
      </c>
      <c r="D9" s="2" t="s">
        <v>7</v>
      </c>
      <c r="E9" s="2" t="s">
        <v>18</v>
      </c>
      <c r="F9" s="2">
        <v>9</v>
      </c>
      <c r="G9" s="2">
        <v>20000</v>
      </c>
      <c r="H9" s="2">
        <f t="shared" si="0"/>
        <v>180000</v>
      </c>
    </row>
    <row r="10" spans="1:8" x14ac:dyDescent="0.35">
      <c r="A10" s="2">
        <v>1009</v>
      </c>
      <c r="B10" s="4">
        <v>45311</v>
      </c>
      <c r="C10" s="2" t="s">
        <v>9</v>
      </c>
      <c r="D10" s="2" t="s">
        <v>5</v>
      </c>
      <c r="E10" s="2" t="s">
        <v>16</v>
      </c>
      <c r="F10" s="2">
        <v>5</v>
      </c>
      <c r="G10" s="2">
        <v>15000</v>
      </c>
      <c r="H10" s="2">
        <f t="shared" si="0"/>
        <v>75000</v>
      </c>
    </row>
    <row r="11" spans="1:8" x14ac:dyDescent="0.35">
      <c r="A11" s="2">
        <v>1010</v>
      </c>
      <c r="B11" s="4">
        <v>45313</v>
      </c>
      <c r="C11" s="2" t="s">
        <v>4</v>
      </c>
      <c r="D11" s="2" t="s">
        <v>10</v>
      </c>
      <c r="E11" s="2" t="s">
        <v>17</v>
      </c>
      <c r="F11" s="2">
        <v>2</v>
      </c>
      <c r="G11" s="2">
        <v>55000</v>
      </c>
      <c r="H11" s="2">
        <f t="shared" si="0"/>
        <v>110000</v>
      </c>
    </row>
    <row r="12" spans="1:8" x14ac:dyDescent="0.35">
      <c r="A12" s="2">
        <v>1011</v>
      </c>
      <c r="B12" s="4">
        <v>45316</v>
      </c>
      <c r="C12" s="2" t="s">
        <v>6</v>
      </c>
      <c r="D12" s="2" t="s">
        <v>11</v>
      </c>
      <c r="E12" s="2" t="s">
        <v>8</v>
      </c>
      <c r="F12" s="2">
        <v>11</v>
      </c>
      <c r="G12" s="2">
        <v>20000</v>
      </c>
      <c r="H12" s="2">
        <f t="shared" si="0"/>
        <v>220000</v>
      </c>
    </row>
    <row r="13" spans="1:8" x14ac:dyDescent="0.35">
      <c r="A13" s="2">
        <v>1012</v>
      </c>
      <c r="B13" s="4">
        <v>45319</v>
      </c>
      <c r="C13" s="2" t="s">
        <v>9</v>
      </c>
      <c r="D13" s="2" t="s">
        <v>7</v>
      </c>
      <c r="E13" s="2" t="s">
        <v>18</v>
      </c>
      <c r="F13" s="2">
        <v>4</v>
      </c>
      <c r="G13" s="2">
        <v>15000</v>
      </c>
      <c r="H13" s="2">
        <f t="shared" si="0"/>
        <v>60000</v>
      </c>
    </row>
    <row r="14" spans="1:8" x14ac:dyDescent="0.35">
      <c r="A14" s="2">
        <v>1013</v>
      </c>
      <c r="B14" s="4">
        <v>45324</v>
      </c>
      <c r="C14" s="2" t="s">
        <v>4</v>
      </c>
      <c r="D14" s="2" t="s">
        <v>5</v>
      </c>
      <c r="E14" s="2" t="s">
        <v>16</v>
      </c>
      <c r="F14" s="2">
        <v>6</v>
      </c>
      <c r="G14" s="2">
        <v>55000</v>
      </c>
      <c r="H14" s="2">
        <f t="shared" si="0"/>
        <v>330000</v>
      </c>
    </row>
    <row r="15" spans="1:8" x14ac:dyDescent="0.35">
      <c r="A15" s="2">
        <v>1014</v>
      </c>
      <c r="B15" s="4">
        <v>45327</v>
      </c>
      <c r="C15" s="2" t="s">
        <v>6</v>
      </c>
      <c r="D15" s="2" t="s">
        <v>10</v>
      </c>
      <c r="E15" s="2" t="s">
        <v>17</v>
      </c>
      <c r="F15" s="2" t="s">
        <v>19</v>
      </c>
      <c r="G15" s="2">
        <v>20000</v>
      </c>
      <c r="H15" s="2" t="str">
        <f t="shared" si="0"/>
        <v>NA</v>
      </c>
    </row>
    <row r="16" spans="1:8" x14ac:dyDescent="0.35">
      <c r="A16" s="2">
        <v>1015</v>
      </c>
      <c r="B16" s="4">
        <v>45329</v>
      </c>
      <c r="C16" s="2" t="s">
        <v>9</v>
      </c>
      <c r="D16" s="2" t="s">
        <v>11</v>
      </c>
      <c r="E16" s="2" t="s">
        <v>8</v>
      </c>
      <c r="F16" s="2">
        <v>8</v>
      </c>
      <c r="G16" s="2">
        <v>15000</v>
      </c>
      <c r="H16" s="2">
        <f t="shared" si="0"/>
        <v>120000</v>
      </c>
    </row>
    <row r="17" spans="1:8" x14ac:dyDescent="0.35">
      <c r="A17" s="2">
        <v>1016</v>
      </c>
      <c r="B17" s="4">
        <v>45332</v>
      </c>
      <c r="C17" s="2" t="s">
        <v>4</v>
      </c>
      <c r="D17" s="2" t="s">
        <v>7</v>
      </c>
      <c r="E17" s="2" t="s">
        <v>18</v>
      </c>
      <c r="F17" s="2">
        <v>3</v>
      </c>
      <c r="G17" s="2">
        <v>55000</v>
      </c>
      <c r="H17" s="2">
        <f t="shared" si="0"/>
        <v>165000</v>
      </c>
    </row>
    <row r="18" spans="1:8" x14ac:dyDescent="0.35">
      <c r="A18" s="2">
        <v>1017</v>
      </c>
      <c r="B18" s="4">
        <v>45334</v>
      </c>
      <c r="C18" s="2" t="s">
        <v>6</v>
      </c>
      <c r="D18" s="2" t="s">
        <v>5</v>
      </c>
      <c r="E18" s="2" t="s">
        <v>16</v>
      </c>
      <c r="F18" s="2">
        <v>10</v>
      </c>
      <c r="G18" s="2">
        <v>20000</v>
      </c>
      <c r="H18" s="2">
        <f t="shared" si="0"/>
        <v>200000</v>
      </c>
    </row>
    <row r="19" spans="1:8" x14ac:dyDescent="0.35">
      <c r="A19" s="2">
        <v>1018</v>
      </c>
      <c r="B19" s="4">
        <v>45337</v>
      </c>
      <c r="C19" s="2" t="s">
        <v>9</v>
      </c>
      <c r="D19" s="2" t="s">
        <v>10</v>
      </c>
      <c r="E19" s="2" t="s">
        <v>17</v>
      </c>
      <c r="F19" s="2">
        <v>5</v>
      </c>
      <c r="G19" s="2">
        <v>15000</v>
      </c>
      <c r="H19" s="2">
        <f t="shared" si="0"/>
        <v>75000</v>
      </c>
    </row>
    <row r="20" spans="1:8" x14ac:dyDescent="0.35">
      <c r="A20" s="2">
        <v>1019</v>
      </c>
      <c r="B20" s="4">
        <v>45340</v>
      </c>
      <c r="C20" s="2" t="s">
        <v>4</v>
      </c>
      <c r="D20" s="2" t="s">
        <v>11</v>
      </c>
      <c r="E20" s="2" t="s">
        <v>8</v>
      </c>
      <c r="F20" s="2">
        <v>4</v>
      </c>
      <c r="G20" s="2">
        <v>55000</v>
      </c>
      <c r="H20" s="2">
        <f t="shared" si="0"/>
        <v>220000</v>
      </c>
    </row>
    <row r="22" spans="1:8" ht="29" x14ac:dyDescent="0.35">
      <c r="E22" s="2" t="s">
        <v>22</v>
      </c>
      <c r="F22">
        <f>SUM(F2:F20)</f>
        <v>110</v>
      </c>
      <c r="G22" t="s">
        <v>20</v>
      </c>
      <c r="H22" s="2">
        <f>SUM(H2:H20)</f>
        <v>2970000</v>
      </c>
    </row>
    <row r="23" spans="1:8" x14ac:dyDescent="0.35">
      <c r="G23" t="s">
        <v>21</v>
      </c>
      <c r="H23">
        <f>AVERAGE(H2:H20)</f>
        <v>165000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A6E68-8C1B-4029-9A9D-C0F57FFCC479}">
  <dimension ref="A3:B7"/>
  <sheetViews>
    <sheetView workbookViewId="0">
      <selection activeCell="H22" sqref="H22"/>
    </sheetView>
  </sheetViews>
  <sheetFormatPr defaultRowHeight="14.5" x14ac:dyDescent="0.35"/>
  <cols>
    <col min="1" max="1" width="10.36328125" bestFit="1" customWidth="1"/>
    <col min="2" max="2" width="16.54296875" bestFit="1" customWidth="1"/>
    <col min="3" max="4" width="9.6328125" bestFit="1" customWidth="1"/>
    <col min="5" max="5" width="10.36328125" bestFit="1" customWidth="1"/>
  </cols>
  <sheetData>
    <row r="3" spans="1:2" x14ac:dyDescent="0.35">
      <c r="A3" s="5" t="s">
        <v>1</v>
      </c>
      <c r="B3" t="s">
        <v>29</v>
      </c>
    </row>
    <row r="4" spans="1:2" x14ac:dyDescent="0.35">
      <c r="A4" t="s">
        <v>4</v>
      </c>
      <c r="B4" s="7">
        <v>1485000</v>
      </c>
    </row>
    <row r="5" spans="1:2" x14ac:dyDescent="0.35">
      <c r="A5" t="s">
        <v>6</v>
      </c>
      <c r="B5" s="7">
        <v>960000</v>
      </c>
    </row>
    <row r="6" spans="1:2" x14ac:dyDescent="0.35">
      <c r="A6" t="s">
        <v>9</v>
      </c>
      <c r="B6" s="7">
        <v>525000</v>
      </c>
    </row>
    <row r="7" spans="1:2" x14ac:dyDescent="0.35">
      <c r="A7" t="s">
        <v>24</v>
      </c>
      <c r="B7" s="7">
        <v>2970000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36A9-7E5C-4F9E-92A8-280DCAD5BFE9}">
  <dimension ref="A1:B6"/>
  <sheetViews>
    <sheetView workbookViewId="0">
      <selection activeCell="B4" sqref="B4"/>
    </sheetView>
  </sheetViews>
  <sheetFormatPr defaultRowHeight="14.5" x14ac:dyDescent="0.35"/>
  <cols>
    <col min="1" max="1" width="10.36328125" bestFit="1" customWidth="1"/>
    <col min="2" max="2" width="16.54296875" bestFit="1" customWidth="1"/>
  </cols>
  <sheetData>
    <row r="1" spans="1:2" x14ac:dyDescent="0.35">
      <c r="A1" s="5" t="s">
        <v>2</v>
      </c>
      <c r="B1" t="s">
        <v>29</v>
      </c>
    </row>
    <row r="2" spans="1:2" x14ac:dyDescent="0.35">
      <c r="A2" t="s">
        <v>11</v>
      </c>
      <c r="B2" s="7">
        <v>885000</v>
      </c>
    </row>
    <row r="3" spans="1:2" x14ac:dyDescent="0.35">
      <c r="A3" t="s">
        <v>5</v>
      </c>
      <c r="B3" s="7">
        <v>1040000</v>
      </c>
    </row>
    <row r="4" spans="1:2" x14ac:dyDescent="0.35">
      <c r="A4" t="s">
        <v>10</v>
      </c>
      <c r="B4" s="7">
        <v>475000</v>
      </c>
    </row>
    <row r="5" spans="1:2" x14ac:dyDescent="0.35">
      <c r="A5" t="s">
        <v>7</v>
      </c>
      <c r="B5" s="7">
        <v>570000</v>
      </c>
    </row>
    <row r="6" spans="1:2" x14ac:dyDescent="0.35">
      <c r="A6" t="s">
        <v>24</v>
      </c>
      <c r="B6" s="7">
        <v>2970000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2B00-FBEA-45B0-A415-15FFBB0E7BF4}">
  <dimension ref="A1:B6"/>
  <sheetViews>
    <sheetView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6.54296875" bestFit="1" customWidth="1"/>
  </cols>
  <sheetData>
    <row r="1" spans="1:2" x14ac:dyDescent="0.35">
      <c r="A1" s="5" t="s">
        <v>23</v>
      </c>
      <c r="B1" t="s">
        <v>29</v>
      </c>
    </row>
    <row r="2" spans="1:2" x14ac:dyDescent="0.35">
      <c r="A2" s="6" t="s">
        <v>16</v>
      </c>
      <c r="B2" s="7">
        <v>1040000</v>
      </c>
    </row>
    <row r="3" spans="1:2" x14ac:dyDescent="0.35">
      <c r="A3" s="6" t="s">
        <v>17</v>
      </c>
      <c r="B3" s="7">
        <v>475000</v>
      </c>
    </row>
    <row r="4" spans="1:2" x14ac:dyDescent="0.35">
      <c r="A4" s="6" t="s">
        <v>8</v>
      </c>
      <c r="B4" s="7">
        <v>885000</v>
      </c>
    </row>
    <row r="5" spans="1:2" x14ac:dyDescent="0.35">
      <c r="A5" s="6" t="s">
        <v>18</v>
      </c>
      <c r="B5" s="7">
        <v>570000</v>
      </c>
    </row>
    <row r="6" spans="1:2" x14ac:dyDescent="0.35">
      <c r="A6" s="6" t="s">
        <v>24</v>
      </c>
      <c r="B6" s="7">
        <v>2970000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466A-54B6-42CC-9997-DA535BB8C60C}">
  <dimension ref="A1:B6"/>
  <sheetViews>
    <sheetView workbookViewId="0">
      <selection activeCell="N18" sqref="N18"/>
    </sheetView>
  </sheetViews>
  <sheetFormatPr defaultRowHeight="14.5" x14ac:dyDescent="0.35"/>
  <cols>
    <col min="1" max="1" width="12.453125" bestFit="1" customWidth="1"/>
    <col min="2" max="2" width="16.54296875" bestFit="1" customWidth="1"/>
  </cols>
  <sheetData>
    <row r="1" spans="1:2" x14ac:dyDescent="0.35">
      <c r="A1" s="5" t="s">
        <v>23</v>
      </c>
      <c r="B1" t="s">
        <v>29</v>
      </c>
    </row>
    <row r="2" spans="1:2" x14ac:dyDescent="0.35">
      <c r="A2" s="6" t="s">
        <v>25</v>
      </c>
      <c r="B2" s="7">
        <v>1555000</v>
      </c>
    </row>
    <row r="3" spans="1:2" x14ac:dyDescent="0.35">
      <c r="A3" s="6" t="s">
        <v>26</v>
      </c>
      <c r="B3" s="7">
        <v>1110000</v>
      </c>
    </row>
    <row r="4" spans="1:2" x14ac:dyDescent="0.35">
      <c r="A4" s="6" t="s">
        <v>27</v>
      </c>
      <c r="B4" s="7">
        <v>200000</v>
      </c>
    </row>
    <row r="5" spans="1:2" x14ac:dyDescent="0.35">
      <c r="A5" s="6" t="s">
        <v>28</v>
      </c>
      <c r="B5" s="7">
        <v>105000</v>
      </c>
    </row>
    <row r="6" spans="1:2" x14ac:dyDescent="0.35">
      <c r="A6" s="6" t="s">
        <v>24</v>
      </c>
      <c r="B6" s="7">
        <v>2970000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Sales by Product</vt:lpstr>
      <vt:lpstr>Sales by Region</vt:lpstr>
      <vt:lpstr>Sales by Salesperson</vt:lpstr>
      <vt:lpstr>Monthly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2026-03-05T06:30:40Z</dcterms:created>
  <dcterms:modified xsi:type="dcterms:W3CDTF">2026-03-05T07:10:18Z</dcterms:modified>
</cp:coreProperties>
</file>