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ithik\DD_DA_Assignment(TD)\DA_projects\"/>
    </mc:Choice>
  </mc:AlternateContent>
  <xr:revisionPtr revIDLastSave="0" documentId="8_{130EED37-6B7C-409E-A7D0-A075810233BC}" xr6:coauthVersionLast="47" xr6:coauthVersionMax="47" xr10:uidLastSave="{00000000-0000-0000-0000-000000000000}"/>
  <bookViews>
    <workbookView xWindow="-110" yWindow="-110" windowWidth="21820" windowHeight="13900" xr2:uid="{F4080878-9B22-4B3E-AA07-400F340670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9" i="1" l="1"/>
  <c r="E60" i="1"/>
  <c r="E61" i="1"/>
  <c r="E58" i="1"/>
  <c r="B53" i="1"/>
  <c r="B54" i="1"/>
  <c r="B52" i="1"/>
  <c r="C48" i="1"/>
  <c r="C47" i="1"/>
  <c r="C46" i="1"/>
  <c r="C45" i="1"/>
  <c r="C41" i="1"/>
  <c r="C42" i="1"/>
  <c r="C40" i="1"/>
  <c r="B41" i="1"/>
  <c r="B42" i="1"/>
  <c r="B40" i="1"/>
  <c r="B36" i="1"/>
  <c r="G27" i="1"/>
  <c r="G28" i="1"/>
  <c r="G29" i="1"/>
  <c r="G26" i="1"/>
  <c r="D32" i="1" s="1"/>
  <c r="F27" i="1"/>
  <c r="F28" i="1"/>
  <c r="F29" i="1"/>
  <c r="H29" i="1" s="1" a="1"/>
  <c r="H29" i="1" s="1"/>
  <c r="F26" i="1"/>
  <c r="C32" i="1" s="1"/>
  <c r="E27" i="1"/>
  <c r="E28" i="1"/>
  <c r="E29" i="1"/>
  <c r="E26" i="1"/>
  <c r="B33" i="1" s="1"/>
  <c r="I27" i="1" a="1"/>
  <c r="I27" i="1" s="1"/>
  <c r="I28" i="1" a="1"/>
  <c r="I28" i="1" s="1"/>
  <c r="I29" i="1" a="1"/>
  <c r="I29" i="1" s="1"/>
  <c r="I26" i="1" a="1"/>
  <c r="I26" i="1" s="1"/>
  <c r="C23" i="1"/>
  <c r="C22" i="1"/>
  <c r="C21" i="1"/>
  <c r="B23" i="1"/>
  <c r="B22" i="1"/>
  <c r="B21" i="1"/>
  <c r="I16" i="1" a="1"/>
  <c r="I16" i="1" s="1"/>
  <c r="I17" i="1" a="1"/>
  <c r="I17" i="1"/>
  <c r="I18" i="1" a="1"/>
  <c r="I18" i="1"/>
  <c r="I15" i="1" a="1"/>
  <c r="I15" i="1" s="1"/>
  <c r="F16" i="1"/>
  <c r="F17" i="1"/>
  <c r="F18" i="1"/>
  <c r="F15" i="1"/>
  <c r="E16" i="1"/>
  <c r="G16" i="1" s="1"/>
  <c r="E17" i="1"/>
  <c r="G17" i="1" s="1"/>
  <c r="E18" i="1"/>
  <c r="G18" i="1" s="1"/>
  <c r="E15" i="1"/>
  <c r="G15" i="1" s="1"/>
  <c r="C11" i="1"/>
  <c r="F3" i="1"/>
  <c r="B12" i="1" s="1"/>
  <c r="F4" i="1"/>
  <c r="F5" i="1"/>
  <c r="F6" i="1"/>
  <c r="F2" i="1"/>
  <c r="C12" i="1" s="1"/>
  <c r="E3" i="1"/>
  <c r="E4" i="1"/>
  <c r="E5" i="1"/>
  <c r="E6" i="1"/>
  <c r="E2" i="1"/>
  <c r="B11" i="1" s="1"/>
  <c r="D3" i="1"/>
  <c r="D4" i="1"/>
  <c r="D5" i="1"/>
  <c r="D6" i="1"/>
  <c r="D2" i="1"/>
  <c r="C3" i="1"/>
  <c r="C4" i="1"/>
  <c r="C5" i="1"/>
  <c r="C6" i="1"/>
  <c r="C2" i="1"/>
  <c r="C10" i="1" s="1"/>
  <c r="D34" i="1" l="1"/>
  <c r="D33" i="1"/>
  <c r="B10" i="1"/>
  <c r="C34" i="1"/>
  <c r="C33" i="1"/>
  <c r="C8" i="1"/>
  <c r="H28" i="1" a="1"/>
  <c r="H28" i="1" s="1"/>
  <c r="H27" i="1" a="1"/>
  <c r="H27" i="1" s="1"/>
  <c r="B34" i="1"/>
  <c r="B32" i="1"/>
  <c r="H26" i="1" a="1"/>
  <c r="H2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<sst xmlns="http://schemas.openxmlformats.org/spreadsheetml/2006/main" count="87" uniqueCount="68">
  <si>
    <t>Number 1</t>
  </si>
  <si>
    <t>Number 2</t>
  </si>
  <si>
    <t>Sum</t>
  </si>
  <si>
    <t>Sum (with constant 10)</t>
  </si>
  <si>
    <t>Product</t>
  </si>
  <si>
    <t>Average</t>
  </si>
  <si>
    <t>Constant</t>
  </si>
  <si>
    <t>details</t>
  </si>
  <si>
    <t>max</t>
  </si>
  <si>
    <t>min</t>
  </si>
  <si>
    <t>sum</t>
  </si>
  <si>
    <t>product</t>
  </si>
  <si>
    <t>average</t>
  </si>
  <si>
    <t>TOTAL</t>
  </si>
  <si>
    <t>Name</t>
  </si>
  <si>
    <t>Computer</t>
  </si>
  <si>
    <t>Geography</t>
  </si>
  <si>
    <t>English</t>
  </si>
  <si>
    <t>Total Marks</t>
  </si>
  <si>
    <t>Average Marks</t>
  </si>
  <si>
    <t>Rank</t>
  </si>
  <si>
    <t>Random Number</t>
  </si>
  <si>
    <t>Marks &gt;85</t>
  </si>
  <si>
    <t>Jaya</t>
  </si>
  <si>
    <t>Maya</t>
  </si>
  <si>
    <t>Yash</t>
  </si>
  <si>
    <t>Sam</t>
  </si>
  <si>
    <t>computer</t>
  </si>
  <si>
    <t>geography</t>
  </si>
  <si>
    <t>english</t>
  </si>
  <si>
    <t>Grade (Computer)</t>
  </si>
  <si>
    <t>Grade (Geography)</t>
  </si>
  <si>
    <t>Grade (English)</t>
  </si>
  <si>
    <t>Distinction</t>
  </si>
  <si>
    <t>Pass/Fail</t>
  </si>
  <si>
    <t>A</t>
  </si>
  <si>
    <t>B</t>
  </si>
  <si>
    <t>C</t>
  </si>
  <si>
    <t>&gt;75</t>
  </si>
  <si>
    <t>Original Text</t>
  </si>
  <si>
    <t>Upper Case</t>
  </si>
  <si>
    <t>Lower Case</t>
  </si>
  <si>
    <t>The Sun</t>
  </si>
  <si>
    <t>Earth is the blue planet</t>
  </si>
  <si>
    <t>Tuesday</t>
  </si>
  <si>
    <t>flight</t>
  </si>
  <si>
    <t>slight</t>
  </si>
  <si>
    <t>fool</t>
  </si>
  <si>
    <t>fuul</t>
  </si>
  <si>
    <t>the temperature outside is 44 degree 34</t>
  </si>
  <si>
    <t>my birthday is in January</t>
  </si>
  <si>
    <t>april</t>
  </si>
  <si>
    <t>Text/ID</t>
  </si>
  <si>
    <t>Length</t>
  </si>
  <si>
    <t>India gained independence in 1947</t>
  </si>
  <si>
    <t>Today’s date is 17th May 2024</t>
  </si>
  <si>
    <t>ID</t>
  </si>
  <si>
    <t>College Code</t>
  </si>
  <si>
    <t>Branch Code</t>
  </si>
  <si>
    <t>Year</t>
  </si>
  <si>
    <t>len</t>
  </si>
  <si>
    <t>02</t>
  </si>
  <si>
    <t>01</t>
  </si>
  <si>
    <t>left three</t>
  </si>
  <si>
    <t>mid 2</t>
  </si>
  <si>
    <t>last 2</t>
  </si>
  <si>
    <t>04</t>
  </si>
  <si>
    <t>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</si>
</sst>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6EC6C-B48C-4B51-ACCC-038EA52DB5EC}">
  <dimension ref="A1:I62"/>
  <sheetViews>
    <sheetView tabSelected="1" workbookViewId="0">
      <selection activeCell="H13" sqref="H13"/>
    </sheetView>
  </sheetViews>
  <sheetFormatPr defaultRowHeight="14.5" x14ac:dyDescent="0.35"/>
  <cols>
    <col min="1" max="1" width="20.453125" bestFit="1" customWidth="1"/>
    <col min="2" max="2" width="9.1796875" bestFit="1" customWidth="1"/>
    <col min="3" max="3" width="33.08984375" bestFit="1" customWidth="1"/>
    <col min="4" max="4" width="20.1796875" bestFit="1" customWidth="1"/>
    <col min="5" max="5" width="10.26953125" bestFit="1" customWidth="1"/>
    <col min="6" max="6" width="12.7265625" bestFit="1" customWidth="1"/>
    <col min="8" max="8" width="15" bestFit="1" customWidth="1"/>
    <col min="9" max="9" width="9.1796875" bestFit="1" customWidth="1"/>
  </cols>
  <sheetData>
    <row r="1" spans="1:9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9" x14ac:dyDescent="0.35">
      <c r="A2" s="4">
        <v>5</v>
      </c>
      <c r="B2" s="4">
        <v>24</v>
      </c>
      <c r="C2" s="4">
        <f>SUM(A2:B2)</f>
        <v>29</v>
      </c>
      <c r="D2" s="4">
        <f>SUM(A2:B2,B$7)</f>
        <v>39</v>
      </c>
      <c r="E2" s="4">
        <f>PRODUCT(A2:B2)</f>
        <v>120</v>
      </c>
      <c r="F2" s="4">
        <f>AVERAGE(A2:B2)</f>
        <v>14.5</v>
      </c>
    </row>
    <row r="3" spans="1:9" x14ac:dyDescent="0.35">
      <c r="A3" s="4">
        <v>67</v>
      </c>
      <c r="B3" s="4">
        <v>56</v>
      </c>
      <c r="C3" s="4">
        <f t="shared" ref="C3:C6" si="0">SUM(A3:B3)</f>
        <v>123</v>
      </c>
      <c r="D3" s="4">
        <f t="shared" ref="D3:D6" si="1">SUM(A3:B3,B$7)</f>
        <v>133</v>
      </c>
      <c r="E3" s="4">
        <f t="shared" ref="E3:E6" si="2">PRODUCT(A3:B3)</f>
        <v>3752</v>
      </c>
      <c r="F3" s="4">
        <f t="shared" ref="F3:F6" si="3">AVERAGE(A3:B3)</f>
        <v>61.5</v>
      </c>
    </row>
    <row r="4" spans="1:9" x14ac:dyDescent="0.35">
      <c r="A4" s="4">
        <v>45</v>
      </c>
      <c r="B4" s="4">
        <v>1</v>
      </c>
      <c r="C4" s="4">
        <f t="shared" si="0"/>
        <v>46</v>
      </c>
      <c r="D4" s="4">
        <f t="shared" si="1"/>
        <v>56</v>
      </c>
      <c r="E4" s="4">
        <f t="shared" si="2"/>
        <v>45</v>
      </c>
      <c r="F4" s="4">
        <f t="shared" si="3"/>
        <v>23</v>
      </c>
    </row>
    <row r="5" spans="1:9" x14ac:dyDescent="0.35">
      <c r="A5" s="4">
        <v>-2</v>
      </c>
      <c r="B5" s="4">
        <v>32</v>
      </c>
      <c r="C5" s="4">
        <f t="shared" si="0"/>
        <v>30</v>
      </c>
      <c r="D5" s="4">
        <f t="shared" si="1"/>
        <v>40</v>
      </c>
      <c r="E5" s="4">
        <f t="shared" si="2"/>
        <v>-64</v>
      </c>
      <c r="F5" s="4">
        <f t="shared" si="3"/>
        <v>15</v>
      </c>
    </row>
    <row r="6" spans="1:9" x14ac:dyDescent="0.35">
      <c r="A6" s="4">
        <v>18</v>
      </c>
      <c r="B6" s="4">
        <v>9</v>
      </c>
      <c r="C6" s="4">
        <f t="shared" si="0"/>
        <v>27</v>
      </c>
      <c r="D6" s="4">
        <f t="shared" si="1"/>
        <v>37</v>
      </c>
      <c r="E6" s="4">
        <f t="shared" si="2"/>
        <v>162</v>
      </c>
      <c r="F6" s="4">
        <f t="shared" si="3"/>
        <v>13.5</v>
      </c>
    </row>
    <row r="7" spans="1:9" x14ac:dyDescent="0.35">
      <c r="A7" s="4" t="s">
        <v>6</v>
      </c>
      <c r="B7" s="4">
        <v>10</v>
      </c>
      <c r="C7" s="4"/>
      <c r="D7" s="4"/>
      <c r="E7" s="4"/>
      <c r="F7" s="4"/>
    </row>
    <row r="8" spans="1:9" x14ac:dyDescent="0.35">
      <c r="B8" t="s">
        <v>13</v>
      </c>
      <c r="C8" s="4">
        <f>SUM(C2:C6)</f>
        <v>255</v>
      </c>
    </row>
    <row r="9" spans="1:9" x14ac:dyDescent="0.35">
      <c r="A9" t="s">
        <v>7</v>
      </c>
      <c r="B9" t="s">
        <v>8</v>
      </c>
      <c r="C9" t="s">
        <v>9</v>
      </c>
    </row>
    <row r="10" spans="1:9" x14ac:dyDescent="0.35">
      <c r="A10" t="s">
        <v>10</v>
      </c>
      <c r="B10">
        <f>MAX(C2:C6)</f>
        <v>123</v>
      </c>
      <c r="C10">
        <f>MIN(C2:C6)</f>
        <v>27</v>
      </c>
    </row>
    <row r="11" spans="1:9" x14ac:dyDescent="0.35">
      <c r="A11" t="s">
        <v>11</v>
      </c>
      <c r="B11">
        <f>MAX(E2:E6)</f>
        <v>3752</v>
      </c>
      <c r="C11">
        <f>MIN(E2:E6)</f>
        <v>-64</v>
      </c>
    </row>
    <row r="12" spans="1:9" x14ac:dyDescent="0.35">
      <c r="A12" t="s">
        <v>12</v>
      </c>
      <c r="B12">
        <f>MAX(F2:F6)</f>
        <v>61.5</v>
      </c>
      <c r="C12">
        <f>MIN(F2:F6)</f>
        <v>13.5</v>
      </c>
    </row>
    <row r="14" spans="1:9" x14ac:dyDescent="0.35">
      <c r="A14" s="3" t="s">
        <v>14</v>
      </c>
      <c r="B14" s="3" t="s">
        <v>15</v>
      </c>
      <c r="C14" s="3" t="s">
        <v>16</v>
      </c>
      <c r="D14" s="3" t="s">
        <v>17</v>
      </c>
      <c r="E14" s="3" t="s">
        <v>18</v>
      </c>
      <c r="F14" s="3" t="s">
        <v>19</v>
      </c>
      <c r="G14" s="3" t="s">
        <v>20</v>
      </c>
      <c r="H14" s="3" t="s">
        <v>21</v>
      </c>
      <c r="I14" s="3" t="s">
        <v>22</v>
      </c>
    </row>
    <row r="15" spans="1:9" x14ac:dyDescent="0.35">
      <c r="A15" s="4" t="s">
        <v>23</v>
      </c>
      <c r="B15" s="4">
        <v>80</v>
      </c>
      <c r="C15" s="4">
        <v>89</v>
      </c>
      <c r="D15" s="4">
        <v>92</v>
      </c>
      <c r="E15" s="4">
        <f>SUM(B15:D15)</f>
        <v>261</v>
      </c>
      <c r="F15" s="4">
        <f>AVERAGE(B15:D15)</f>
        <v>87</v>
      </c>
      <c r="G15" s="4">
        <f>_xlfn.RANK.AVG(E15,E$15:E$18,0)</f>
        <v>3</v>
      </c>
      <c r="H15" s="4">
        <v>0.57180869842834858</v>
      </c>
      <c r="I15" s="4" t="str" cm="1">
        <f t="array" ref="I15">IF(AND(B15:D15&gt;85),"above 85","below 85")</f>
        <v>below 85</v>
      </c>
    </row>
    <row r="16" spans="1:9" x14ac:dyDescent="0.35">
      <c r="A16" s="4" t="s">
        <v>24</v>
      </c>
      <c r="B16" s="4">
        <v>78</v>
      </c>
      <c r="C16" s="4">
        <v>85</v>
      </c>
      <c r="D16" s="4">
        <v>82</v>
      </c>
      <c r="E16" s="4">
        <f t="shared" ref="E16:E18" si="4">SUM(B16:D16)</f>
        <v>245</v>
      </c>
      <c r="F16" s="4">
        <f t="shared" ref="F16:F18" si="5">AVERAGE(B16:D16)</f>
        <v>81.666666666666671</v>
      </c>
      <c r="G16" s="4">
        <f t="shared" ref="G16:G18" si="6">_xlfn.RANK.AVG(E16,E$15:E$18,0)</f>
        <v>4</v>
      </c>
      <c r="H16" s="4">
        <v>0.2451585555411061</v>
      </c>
      <c r="I16" s="4" t="str" cm="1">
        <f t="array" ref="I16">IF(AND(B16:D16&gt;85),"above 85","below 85")</f>
        <v>below 85</v>
      </c>
    </row>
    <row r="17" spans="1:9" x14ac:dyDescent="0.35">
      <c r="A17" s="4" t="s">
        <v>25</v>
      </c>
      <c r="B17" s="4">
        <v>90</v>
      </c>
      <c r="C17" s="4">
        <v>92</v>
      </c>
      <c r="D17" s="4">
        <v>95</v>
      </c>
      <c r="E17" s="4">
        <f t="shared" si="4"/>
        <v>277</v>
      </c>
      <c r="F17" s="4">
        <f t="shared" si="5"/>
        <v>92.333333333333329</v>
      </c>
      <c r="G17" s="4">
        <f t="shared" si="6"/>
        <v>1</v>
      </c>
      <c r="H17" s="4">
        <v>8.9379185334055311E-3</v>
      </c>
      <c r="I17" s="4" t="str" cm="1">
        <f t="array" ref="I17">IF(AND(B17:D17&gt;85),"above 85","below 85")</f>
        <v>above 85</v>
      </c>
    </row>
    <row r="18" spans="1:9" x14ac:dyDescent="0.35">
      <c r="A18" s="4" t="s">
        <v>26</v>
      </c>
      <c r="B18" s="4">
        <v>92</v>
      </c>
      <c r="C18" s="4">
        <v>95</v>
      </c>
      <c r="D18" s="4">
        <v>89</v>
      </c>
      <c r="E18" s="4">
        <f t="shared" si="4"/>
        <v>276</v>
      </c>
      <c r="F18" s="4">
        <f t="shared" si="5"/>
        <v>92</v>
      </c>
      <c r="G18" s="4">
        <f t="shared" si="6"/>
        <v>2</v>
      </c>
      <c r="H18" s="4">
        <v>0.19675613095987909</v>
      </c>
      <c r="I18" s="4" t="str" cm="1">
        <f t="array" ref="I18">IF(AND(B18:D18&gt;85),"above 85","below 85")</f>
        <v>above 85</v>
      </c>
    </row>
    <row r="20" spans="1:9" x14ac:dyDescent="0.35">
      <c r="A20" s="4" t="s">
        <v>7</v>
      </c>
      <c r="B20" t="s">
        <v>8</v>
      </c>
      <c r="C20" t="s">
        <v>9</v>
      </c>
    </row>
    <row r="21" spans="1:9" x14ac:dyDescent="0.35">
      <c r="A21" s="4" t="s">
        <v>27</v>
      </c>
      <c r="B21">
        <f>MAX(B15:B18)</f>
        <v>92</v>
      </c>
      <c r="C21">
        <f>MIN(B15:B18)</f>
        <v>78</v>
      </c>
    </row>
    <row r="22" spans="1:9" x14ac:dyDescent="0.35">
      <c r="A22" s="4" t="s">
        <v>28</v>
      </c>
      <c r="B22">
        <f>MAX(C15:C18)</f>
        <v>95</v>
      </c>
      <c r="C22">
        <f>MIN(C15:C18)</f>
        <v>85</v>
      </c>
    </row>
    <row r="23" spans="1:9" x14ac:dyDescent="0.35">
      <c r="A23" s="4" t="s">
        <v>29</v>
      </c>
      <c r="B23">
        <f>MAX(D15:D18)</f>
        <v>95</v>
      </c>
      <c r="C23">
        <f>MIN(D15:D18)</f>
        <v>82</v>
      </c>
    </row>
    <row r="25" spans="1:9" ht="43.5" x14ac:dyDescent="0.35">
      <c r="A25" s="1" t="s">
        <v>14</v>
      </c>
      <c r="B25" s="1" t="s">
        <v>15</v>
      </c>
      <c r="C25" s="1" t="s">
        <v>16</v>
      </c>
      <c r="D25" s="1" t="s">
        <v>17</v>
      </c>
      <c r="E25" s="1" t="s">
        <v>30</v>
      </c>
      <c r="F25" s="1" t="s">
        <v>31</v>
      </c>
      <c r="G25" s="1" t="s">
        <v>32</v>
      </c>
      <c r="H25" s="1" t="s">
        <v>33</v>
      </c>
      <c r="I25" s="1" t="s">
        <v>34</v>
      </c>
    </row>
    <row r="26" spans="1:9" x14ac:dyDescent="0.35">
      <c r="A26" s="4" t="s">
        <v>23</v>
      </c>
      <c r="B26" s="4">
        <v>80</v>
      </c>
      <c r="C26" s="4">
        <v>89</v>
      </c>
      <c r="D26" s="4">
        <v>92</v>
      </c>
      <c r="E26" s="2" t="str">
        <f>IF(B26&gt;=90,"A",IF(B26&gt;=75,"B","C"))</f>
        <v>B</v>
      </c>
      <c r="F26" s="2" t="str">
        <f>IF(C26&gt;=90,"A",IF(C26&gt;=75,"B","C"))</f>
        <v>B</v>
      </c>
      <c r="G26" s="2" t="str">
        <f>IF(D26&gt;=90,"A",IF(D26&gt;=75,"B","C"))</f>
        <v>A</v>
      </c>
      <c r="H26" s="2" t="str" cm="1">
        <f t="array" ref="H26">IF(AND(E26:G26="A"),"distinction","nodistinction")</f>
        <v>nodistinction</v>
      </c>
      <c r="I26" s="2" t="str" cm="1">
        <f t="array" ref="I26">IF(AND(B26:D26&gt;=40),"pass","fail")</f>
        <v>pass</v>
      </c>
    </row>
    <row r="27" spans="1:9" x14ac:dyDescent="0.35">
      <c r="A27" s="4" t="s">
        <v>24</v>
      </c>
      <c r="B27" s="4">
        <v>78</v>
      </c>
      <c r="C27" s="4">
        <v>85</v>
      </c>
      <c r="D27" s="4">
        <v>82</v>
      </c>
      <c r="E27" s="2" t="str">
        <f t="shared" ref="E27:E29" si="7">IF(B27&gt;=90,"A",IF(B27&gt;=75,"B","C"))</f>
        <v>B</v>
      </c>
      <c r="F27" s="2" t="str">
        <f t="shared" ref="F27:F29" si="8">IF(C27&gt;=90,"A",IF(C27&gt;=75,"B","C"))</f>
        <v>B</v>
      </c>
      <c r="G27" s="2" t="str">
        <f t="shared" ref="G27:G29" si="9">IF(D27&gt;=90,"A",IF(D27&gt;=75,"B","C"))</f>
        <v>B</v>
      </c>
      <c r="H27" s="2" t="str" cm="1">
        <f t="array" ref="H27">IF(AND(E27:G27="A"),"distinction","nodistinction")</f>
        <v>nodistinction</v>
      </c>
      <c r="I27" s="2" t="str" cm="1">
        <f t="array" ref="I27">IF(AND(B27:D27&gt;=40),"pass","fail")</f>
        <v>pass</v>
      </c>
    </row>
    <row r="28" spans="1:9" x14ac:dyDescent="0.35">
      <c r="A28" s="4" t="s">
        <v>25</v>
      </c>
      <c r="B28" s="4">
        <v>90</v>
      </c>
      <c r="C28" s="4">
        <v>92</v>
      </c>
      <c r="D28" s="4">
        <v>95</v>
      </c>
      <c r="E28" s="2" t="str">
        <f t="shared" si="7"/>
        <v>A</v>
      </c>
      <c r="F28" s="2" t="str">
        <f t="shared" si="8"/>
        <v>A</v>
      </c>
      <c r="G28" s="2" t="str">
        <f t="shared" si="9"/>
        <v>A</v>
      </c>
      <c r="H28" s="2" t="str" cm="1">
        <f t="array" ref="H28">IF(AND(E28:G28="A"),"distinction","nodistinction")</f>
        <v>distinction</v>
      </c>
      <c r="I28" s="2" t="str" cm="1">
        <f t="array" ref="I28">IF(AND(B28:D28&gt;=40),"pass","fail")</f>
        <v>pass</v>
      </c>
    </row>
    <row r="29" spans="1:9" x14ac:dyDescent="0.35">
      <c r="A29" s="4" t="s">
        <v>26</v>
      </c>
      <c r="B29" s="4">
        <v>92</v>
      </c>
      <c r="C29" s="4">
        <v>95</v>
      </c>
      <c r="D29" s="4">
        <v>89</v>
      </c>
      <c r="E29" s="2" t="str">
        <f t="shared" si="7"/>
        <v>A</v>
      </c>
      <c r="F29" s="2" t="str">
        <f t="shared" si="8"/>
        <v>A</v>
      </c>
      <c r="G29" s="2" t="str">
        <f t="shared" si="9"/>
        <v>B</v>
      </c>
      <c r="H29" s="2" t="str" cm="1">
        <f t="array" ref="H29">IF(AND(E29:G29="A"),"distinction","nodistinction")</f>
        <v>nodistinction</v>
      </c>
      <c r="I29" s="2" t="str" cm="1">
        <f t="array" ref="I29">IF(AND(B29:D29&gt;=40),"pass","fail")</f>
        <v>pass</v>
      </c>
    </row>
    <row r="31" spans="1:9" x14ac:dyDescent="0.35">
      <c r="B31" t="s">
        <v>27</v>
      </c>
      <c r="C31" t="s">
        <v>28</v>
      </c>
      <c r="D31" t="s">
        <v>29</v>
      </c>
    </row>
    <row r="32" spans="1:9" x14ac:dyDescent="0.35">
      <c r="A32" s="4" t="s">
        <v>35</v>
      </c>
      <c r="B32">
        <f>COUNTIF($E$26:$E$29,A32)</f>
        <v>2</v>
      </c>
      <c r="C32">
        <f>COUNTIF(F$26:F$29,A32)</f>
        <v>2</v>
      </c>
      <c r="D32">
        <f>COUNTIF(G$26:G$29,A32)</f>
        <v>2</v>
      </c>
    </row>
    <row r="33" spans="1:4" x14ac:dyDescent="0.35">
      <c r="A33" s="4" t="s">
        <v>36</v>
      </c>
      <c r="B33">
        <f t="shared" ref="B33:B34" si="10">COUNTIF($E$26:$E$29,A33)</f>
        <v>2</v>
      </c>
      <c r="C33">
        <f t="shared" ref="C33:C34" si="11">COUNTIF(F$26:F$29,A33)</f>
        <v>2</v>
      </c>
      <c r="D33">
        <f t="shared" ref="D33:D34" si="12">COUNTIF(G$26:G$29,A33)</f>
        <v>2</v>
      </c>
    </row>
    <row r="34" spans="1:4" x14ac:dyDescent="0.35">
      <c r="A34" s="4" t="s">
        <v>37</v>
      </c>
      <c r="B34">
        <f t="shared" si="10"/>
        <v>0</v>
      </c>
      <c r="C34">
        <f t="shared" si="11"/>
        <v>0</v>
      </c>
      <c r="D34">
        <f t="shared" si="12"/>
        <v>0</v>
      </c>
    </row>
    <row r="36" spans="1:4" x14ac:dyDescent="0.35">
      <c r="A36" s="4" t="s">
        <v>38</v>
      </c>
      <c r="B36">
        <f>COUNTIFS(B26:B29,A36,C26:C29,A36,D26:D29,A36)</f>
        <v>4</v>
      </c>
    </row>
    <row r="39" spans="1:4" ht="29" x14ac:dyDescent="0.35">
      <c r="A39" s="1" t="s">
        <v>39</v>
      </c>
      <c r="B39" s="1" t="s">
        <v>40</v>
      </c>
      <c r="C39" s="1" t="s">
        <v>41</v>
      </c>
    </row>
    <row r="40" spans="1:4" x14ac:dyDescent="0.35">
      <c r="A40" s="2" t="s">
        <v>42</v>
      </c>
      <c r="B40" s="2" t="str">
        <f>UPPER(A40)</f>
        <v>THE SUN</v>
      </c>
      <c r="C40" s="2" t="str">
        <f>LOWER(A40)</f>
        <v>the sun</v>
      </c>
    </row>
    <row r="41" spans="1:4" ht="43.5" x14ac:dyDescent="0.35">
      <c r="A41" s="2" t="s">
        <v>43</v>
      </c>
      <c r="B41" s="2" t="str">
        <f t="shared" ref="B41:B42" si="13">UPPER(A41)</f>
        <v>EARTH IS THE BLUE PLANET</v>
      </c>
      <c r="C41" s="2" t="str">
        <f t="shared" ref="C41:C42" si="14">LOWER(A41)</f>
        <v>earth is the blue planet</v>
      </c>
    </row>
    <row r="42" spans="1:4" x14ac:dyDescent="0.35">
      <c r="A42" s="2" t="s">
        <v>44</v>
      </c>
      <c r="B42" s="2" t="str">
        <f t="shared" si="13"/>
        <v>TUESDAY</v>
      </c>
      <c r="C42" s="2" t="str">
        <f t="shared" si="14"/>
        <v>tuesday</v>
      </c>
    </row>
    <row r="45" spans="1:4" x14ac:dyDescent="0.35">
      <c r="A45" s="2" t="s">
        <v>45</v>
      </c>
      <c r="B45" t="s">
        <v>46</v>
      </c>
      <c r="C45" t="str">
        <f>SUBSTITUTE(A45,A45,B45)</f>
        <v>slight</v>
      </c>
    </row>
    <row r="46" spans="1:4" x14ac:dyDescent="0.35">
      <c r="A46" s="2" t="s">
        <v>47</v>
      </c>
      <c r="B46" t="s">
        <v>48</v>
      </c>
      <c r="C46" t="str">
        <f>SUBSTITUTE(A46,A46,B46)</f>
        <v>fuul</v>
      </c>
    </row>
    <row r="47" spans="1:4" ht="29" x14ac:dyDescent="0.35">
      <c r="A47" s="2" t="s">
        <v>49</v>
      </c>
      <c r="B47">
        <v>34</v>
      </c>
      <c r="C47" t="str">
        <f>SUBSTITUTE(A47,"44","34")</f>
        <v>the temperature outside is 34 degree 34</v>
      </c>
    </row>
    <row r="48" spans="1:4" x14ac:dyDescent="0.35">
      <c r="A48" t="s">
        <v>50</v>
      </c>
      <c r="B48" t="s">
        <v>51</v>
      </c>
      <c r="C48" t="str">
        <f>SUBSTITUTE(A48,"January",B48)</f>
        <v>my birthday is in april</v>
      </c>
    </row>
    <row r="51" spans="1:5" x14ac:dyDescent="0.35">
      <c r="A51" s="1" t="s">
        <v>52</v>
      </c>
      <c r="B51" s="1" t="s">
        <v>53</v>
      </c>
    </row>
    <row r="52" spans="1:5" ht="29" x14ac:dyDescent="0.35">
      <c r="A52" s="2" t="s">
        <v>54</v>
      </c>
      <c r="B52" s="2">
        <f>LEN(A52)</f>
        <v>33</v>
      </c>
    </row>
    <row r="53" spans="1:5" ht="29" x14ac:dyDescent="0.35">
      <c r="A53" s="2" t="s">
        <v>55</v>
      </c>
      <c r="B53" s="2">
        <f t="shared" ref="B53:B54" si="15">LEN(A53)</f>
        <v>29</v>
      </c>
    </row>
    <row r="54" spans="1:5" x14ac:dyDescent="0.35">
      <c r="A54" s="2" t="s">
        <v>44</v>
      </c>
      <c r="B54" s="2">
        <f t="shared" si="15"/>
        <v>7</v>
      </c>
    </row>
    <row r="57" spans="1:5" ht="29" x14ac:dyDescent="0.35">
      <c r="A57" s="1" t="s">
        <v>56</v>
      </c>
      <c r="B57" s="1" t="s">
        <v>57</v>
      </c>
      <c r="C57" s="1" t="s">
        <v>58</v>
      </c>
      <c r="D57" s="1" t="s">
        <v>59</v>
      </c>
      <c r="E57" s="1" t="s">
        <v>60</v>
      </c>
    </row>
    <row r="58" spans="1:5" x14ac:dyDescent="0.35">
      <c r="A58" s="2">
        <v>1210101</v>
      </c>
      <c r="B58" s="2">
        <v>121</v>
      </c>
      <c r="C58" s="5" t="s">
        <v>61</v>
      </c>
      <c r="D58" s="5" t="s">
        <v>62</v>
      </c>
      <c r="E58">
        <f>LEN(A58)</f>
        <v>7</v>
      </c>
    </row>
    <row r="59" spans="1:5" x14ac:dyDescent="0.35">
      <c r="A59" s="2">
        <v>1220201</v>
      </c>
      <c r="B59" s="2">
        <v>122</v>
      </c>
      <c r="C59" s="5" t="s">
        <v>61</v>
      </c>
      <c r="D59" s="5" t="s">
        <v>62</v>
      </c>
      <c r="E59">
        <f t="shared" ref="E59:E61" si="16">LEN(A59)</f>
        <v>7</v>
      </c>
    </row>
    <row r="60" spans="1:5" x14ac:dyDescent="0.35">
      <c r="A60" s="2">
        <v>1210203</v>
      </c>
      <c r="B60" s="2">
        <v>121</v>
      </c>
      <c r="C60" s="5" t="s">
        <v>61</v>
      </c>
      <c r="D60" s="5" t="s">
        <v>67</v>
      </c>
      <c r="E60">
        <f t="shared" si="16"/>
        <v>7</v>
      </c>
    </row>
    <row r="61" spans="1:5" x14ac:dyDescent="0.35">
      <c r="A61" s="2">
        <v>1240104</v>
      </c>
      <c r="B61" s="2">
        <v>124</v>
      </c>
      <c r="C61" s="5" t="s">
        <v>62</v>
      </c>
      <c r="D61" s="5" t="s">
        <v>66</v>
      </c>
      <c r="E61">
        <f t="shared" si="16"/>
        <v>7</v>
      </c>
    </row>
    <row r="62" spans="1:5" x14ac:dyDescent="0.35">
      <c r="B62" t="s">
        <v>63</v>
      </c>
      <c r="C62" s="5" t="s">
        <v>64</v>
      </c>
      <c r="D62" t="s">
        <v>65</v>
      </c>
    </row>
  </sheetData>
  <pageMargins left="0.7" right="0.7" top="0.75" bottom="0.75" header="0.3" footer="0.3"/>
  <pageSetup orientation="portrait" r:id="rId1"/>
  <ignoredErrors>
    <ignoredError sqref="C58:C61 D58:D6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hrithik khatik</dc:creator>
  <cp:lastModifiedBy>hrithik khatik</cp:lastModifiedBy>
  <dcterms:created xsi:type="dcterms:W3CDTF">2026-02-14T13:57:33Z</dcterms:created>
  <dcterms:modified xsi:type="dcterms:W3CDTF">2026-02-14T14:55:40Z</dcterms:modified>
</cp:coreProperties>
</file>