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3A52A44F-86B4-4FD6-A39C-C6DD70D5EB9F}" xr6:coauthVersionLast="47" xr6:coauthVersionMax="47" xr10:uidLastSave="{00000000-0000-0000-0000-000000000000}"/>
  <bookViews>
    <workbookView xWindow="-110" yWindow="-110" windowWidth="21820" windowHeight="13900" xr2:uid="{9BA4275C-167E-448A-87EC-7E40636ED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D43" i="1"/>
  <c r="D41" i="1"/>
  <c r="C42" i="1"/>
  <c r="C43" i="1"/>
  <c r="C41" i="1"/>
  <c r="B42" i="1"/>
  <c r="B43" i="1"/>
  <c r="B41" i="1"/>
  <c r="B37" i="1"/>
  <c r="B34" i="1"/>
  <c r="C34" i="1"/>
  <c r="D34" i="1"/>
  <c r="B35" i="1"/>
  <c r="C35" i="1"/>
  <c r="D35" i="1"/>
  <c r="D33" i="1"/>
  <c r="C33" i="1"/>
  <c r="B33" i="1"/>
  <c r="F19" i="1" a="1"/>
  <c r="F19" i="1"/>
  <c r="F20" i="1" a="1"/>
  <c r="F20" i="1"/>
  <c r="F21" i="1" a="1"/>
  <c r="F21" i="1"/>
  <c r="F22" i="1" a="1"/>
  <c r="F22" i="1"/>
  <c r="F18" i="1" a="1"/>
  <c r="F18" i="1" s="1"/>
  <c r="E19" i="1" a="1"/>
  <c r="E19" i="1"/>
  <c r="E20" i="1" a="1"/>
  <c r="E20" i="1"/>
  <c r="E21" i="1" a="1"/>
  <c r="E21" i="1"/>
  <c r="E22" i="1" a="1"/>
  <c r="E22" i="1"/>
  <c r="E18" i="1" a="1"/>
  <c r="E18" i="1" s="1"/>
  <c r="G11" i="1"/>
  <c r="G12" i="1"/>
  <c r="G13" i="1"/>
  <c r="G14" i="1"/>
  <c r="G10" i="1"/>
  <c r="E14" i="1"/>
  <c r="E11" i="1"/>
  <c r="E12" i="1"/>
  <c r="E13" i="1"/>
  <c r="F11" i="1"/>
  <c r="F12" i="1"/>
  <c r="F13" i="1"/>
  <c r="F14" i="1"/>
  <c r="F10" i="1"/>
  <c r="E10" i="1"/>
  <c r="G3" i="1" a="1"/>
  <c r="G3" i="1"/>
  <c r="G4" i="1" a="1"/>
  <c r="G4" i="1"/>
  <c r="G5" i="1" a="1"/>
  <c r="G5" i="1"/>
  <c r="G6" i="1" a="1"/>
  <c r="G6" i="1"/>
  <c r="G2" i="1" a="1"/>
  <c r="G2" i="1" s="1"/>
  <c r="F3" i="1" a="1"/>
  <c r="F3" i="1"/>
  <c r="F4" i="1" a="1"/>
  <c r="F4" i="1"/>
  <c r="F5" i="1" a="1"/>
  <c r="F5" i="1"/>
  <c r="F6" i="1" a="1"/>
  <c r="F6" i="1"/>
  <c r="F2" i="1" a="1"/>
  <c r="F2" i="1" s="1"/>
  <c r="E3" i="1"/>
  <c r="E4" i="1"/>
  <c r="E5" i="1"/>
  <c r="E6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<sst xmlns="http://schemas.openxmlformats.org/spreadsheetml/2006/main" count="77" uniqueCount="22">
  <si>
    <t>Name</t>
  </si>
  <si>
    <t>Computer</t>
  </si>
  <si>
    <t>Geography</t>
  </si>
  <si>
    <t>English</t>
  </si>
  <si>
    <t>Merit card (formula)</t>
  </si>
  <si>
    <t>First class (formula)</t>
  </si>
  <si>
    <t>Fail (formula)</t>
  </si>
  <si>
    <t>Jaya</t>
  </si>
  <si>
    <t>Maya</t>
  </si>
  <si>
    <t>Yash</t>
  </si>
  <si>
    <t>Sam</t>
  </si>
  <si>
    <t>Trina</t>
  </si>
  <si>
    <t>Grade (Computer)</t>
  </si>
  <si>
    <t>Grade (Geography)</t>
  </si>
  <si>
    <t>Grade (English)</t>
  </si>
  <si>
    <t>Distinction</t>
  </si>
  <si>
    <t>Pass/Fail</t>
  </si>
  <si>
    <t>B</t>
  </si>
  <si>
    <t>A</t>
  </si>
  <si>
    <t>C</t>
  </si>
  <si>
    <t>Grade</t>
  </si>
  <si>
    <t>&gt;75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</si>
</sst>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3CB4-C5AA-4101-88E3-67D79A4C5386}">
  <dimension ref="A1:G43"/>
  <sheetViews>
    <sheetView tabSelected="1" topLeftCell="A8" workbookViewId="0">
      <selection activeCell="G14" sqref="G14"/>
    </sheetView>
  </sheetViews>
  <sheetFormatPr defaultRowHeight="14.5" x14ac:dyDescent="0.35"/>
  <cols>
    <col min="1" max="1" width="5.7265625" bestFit="1" customWidth="1"/>
    <col min="2" max="2" width="9.1796875" bestFit="1" customWidth="1"/>
    <col min="3" max="3" width="9.7265625" bestFit="1" customWidth="1"/>
    <col min="5" max="5" width="15.90625" bestFit="1" customWidth="1"/>
    <col min="6" max="6" width="16.453125" bestFit="1" customWidth="1"/>
    <col min="7" max="7" width="13.6328125" bestFit="1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80</v>
      </c>
      <c r="C2" s="2">
        <v>89</v>
      </c>
      <c r="D2" s="2">
        <v>92</v>
      </c>
      <c r="E2" s="2" t="b">
        <f>OR(B2&gt;90)</f>
        <v>0</v>
      </c>
      <c r="F2" s="2" t="b" cm="1">
        <f t="array" ref="F2">AND(B2:D2&gt;80)</f>
        <v>0</v>
      </c>
      <c r="G2" s="2" t="b" cm="1">
        <f t="array" ref="G2">OR(B2:D2&lt;70)</f>
        <v>0</v>
      </c>
    </row>
    <row r="3" spans="1:7" x14ac:dyDescent="0.35">
      <c r="A3" s="2" t="s">
        <v>8</v>
      </c>
      <c r="B3" s="2">
        <v>78</v>
      </c>
      <c r="C3" s="2">
        <v>85</v>
      </c>
      <c r="D3" s="2">
        <v>82</v>
      </c>
      <c r="E3" s="2" t="b">
        <f t="shared" ref="E3:E6" si="0">OR(B3&gt;90)</f>
        <v>0</v>
      </c>
      <c r="F3" s="2" t="b" cm="1">
        <f t="array" ref="F3">AND(B3:D3&gt;80)</f>
        <v>0</v>
      </c>
      <c r="G3" s="2" t="b" cm="1">
        <f t="array" ref="G3">OR(B3:D3&lt;70)</f>
        <v>0</v>
      </c>
    </row>
    <row r="4" spans="1:7" x14ac:dyDescent="0.35">
      <c r="A4" s="2" t="s">
        <v>9</v>
      </c>
      <c r="B4" s="2">
        <v>90</v>
      </c>
      <c r="C4" s="2">
        <v>92</v>
      </c>
      <c r="D4" s="2">
        <v>95</v>
      </c>
      <c r="E4" s="2" t="b">
        <f t="shared" si="0"/>
        <v>0</v>
      </c>
      <c r="F4" s="2" t="b" cm="1">
        <f t="array" ref="F4">AND(B4:D4&gt;80)</f>
        <v>1</v>
      </c>
      <c r="G4" s="2" t="b" cm="1">
        <f t="array" ref="G4">OR(B4:D4&lt;70)</f>
        <v>0</v>
      </c>
    </row>
    <row r="5" spans="1:7" x14ac:dyDescent="0.35">
      <c r="A5" s="2" t="s">
        <v>10</v>
      </c>
      <c r="B5" s="2">
        <v>92</v>
      </c>
      <c r="C5" s="2">
        <v>95</v>
      </c>
      <c r="D5" s="2">
        <v>89</v>
      </c>
      <c r="E5" s="2" t="b">
        <f t="shared" si="0"/>
        <v>1</v>
      </c>
      <c r="F5" s="2" t="b" cm="1">
        <f t="array" ref="F5">AND(B5:D5&gt;80)</f>
        <v>1</v>
      </c>
      <c r="G5" s="2" t="b" cm="1">
        <f t="array" ref="G5">OR(B5:D5&lt;70)</f>
        <v>0</v>
      </c>
    </row>
    <row r="6" spans="1:7" x14ac:dyDescent="0.35">
      <c r="A6" s="2" t="s">
        <v>11</v>
      </c>
      <c r="B6" s="2">
        <v>96</v>
      </c>
      <c r="C6" s="2">
        <v>78</v>
      </c>
      <c r="D6" s="2">
        <v>69</v>
      </c>
      <c r="E6" s="2" t="b">
        <f t="shared" si="0"/>
        <v>1</v>
      </c>
      <c r="F6" s="2" t="b" cm="1">
        <f t="array" ref="F6">AND(B6:D6&gt;80)</f>
        <v>0</v>
      </c>
      <c r="G6" s="2" t="b" cm="1">
        <f t="array" ref="G6">OR(B6:D6&lt;70)</f>
        <v>1</v>
      </c>
    </row>
    <row r="9" spans="1:7" x14ac:dyDescent="0.35">
      <c r="A9" s="3" t="s">
        <v>0</v>
      </c>
      <c r="B9" s="3" t="s">
        <v>1</v>
      </c>
      <c r="C9" s="3" t="s">
        <v>2</v>
      </c>
      <c r="D9" s="3" t="s">
        <v>3</v>
      </c>
      <c r="E9" s="3" t="s">
        <v>12</v>
      </c>
      <c r="F9" s="3" t="s">
        <v>13</v>
      </c>
      <c r="G9" s="3" t="s">
        <v>14</v>
      </c>
    </row>
    <row r="10" spans="1:7" x14ac:dyDescent="0.35">
      <c r="A10" s="2" t="s">
        <v>7</v>
      </c>
      <c r="B10" s="2">
        <v>80</v>
      </c>
      <c r="C10" s="2">
        <v>89</v>
      </c>
      <c r="D10" s="2">
        <v>92</v>
      </c>
      <c r="E10" s="2" t="str">
        <f>IF(B10&gt;85,"A",IF(B10&gt;70,"C"))</f>
        <v>C</v>
      </c>
      <c r="F10" s="2" t="str">
        <f>IF(C10&gt;85,"A",IF(C10&gt;70,"B","C"))</f>
        <v>A</v>
      </c>
      <c r="G10" s="2" t="str">
        <f>IF(D10&gt;85,"A",IF(D10&gt;70,"B","C"))</f>
        <v>A</v>
      </c>
    </row>
    <row r="11" spans="1:7" x14ac:dyDescent="0.35">
      <c r="A11" s="2" t="s">
        <v>8</v>
      </c>
      <c r="B11" s="2">
        <v>78</v>
      </c>
      <c r="C11" s="2">
        <v>85</v>
      </c>
      <c r="D11" s="2">
        <v>82</v>
      </c>
      <c r="E11" s="2" t="str">
        <f t="shared" ref="E11:E14" si="1">IF(B11&gt;85,"A",IF(B11&gt;70,"C"))</f>
        <v>C</v>
      </c>
      <c r="F11" s="2" t="str">
        <f t="shared" ref="F11:F14" si="2">IF(C11&gt;85,"A",IF(C11&gt;70,"B","C"))</f>
        <v>B</v>
      </c>
      <c r="G11" s="2" t="str">
        <f t="shared" ref="G11:G14" si="3">IF(D11&gt;85,"A",IF(D11&gt;70,"B","C"))</f>
        <v>B</v>
      </c>
    </row>
    <row r="12" spans="1:7" x14ac:dyDescent="0.35">
      <c r="A12" s="2" t="s">
        <v>9</v>
      </c>
      <c r="B12" s="2">
        <v>90</v>
      </c>
      <c r="C12" s="2">
        <v>92</v>
      </c>
      <c r="D12" s="2">
        <v>95</v>
      </c>
      <c r="E12" s="2" t="str">
        <f t="shared" si="1"/>
        <v>A</v>
      </c>
      <c r="F12" s="2" t="str">
        <f t="shared" si="2"/>
        <v>A</v>
      </c>
      <c r="G12" s="2" t="str">
        <f t="shared" si="3"/>
        <v>A</v>
      </c>
    </row>
    <row r="13" spans="1:7" x14ac:dyDescent="0.35">
      <c r="A13" s="2" t="s">
        <v>10</v>
      </c>
      <c r="B13" s="2">
        <v>92</v>
      </c>
      <c r="C13" s="2">
        <v>95</v>
      </c>
      <c r="D13" s="2">
        <v>89</v>
      </c>
      <c r="E13" s="2" t="str">
        <f t="shared" si="1"/>
        <v>A</v>
      </c>
      <c r="F13" s="2" t="str">
        <f t="shared" si="2"/>
        <v>A</v>
      </c>
      <c r="G13" s="2" t="str">
        <f t="shared" si="3"/>
        <v>A</v>
      </c>
    </row>
    <row r="14" spans="1:7" x14ac:dyDescent="0.35">
      <c r="A14" s="2" t="s">
        <v>11</v>
      </c>
      <c r="B14" s="2">
        <v>58</v>
      </c>
      <c r="C14" s="2">
        <v>78</v>
      </c>
      <c r="D14" s="2">
        <v>69</v>
      </c>
      <c r="E14" s="2" t="str">
        <f>IF(B14&gt;85,"A",IF(B14&gt;70,"B","C"))</f>
        <v>C</v>
      </c>
      <c r="F14" s="2" t="str">
        <f t="shared" si="2"/>
        <v>B</v>
      </c>
      <c r="G14" s="2" t="str">
        <f t="shared" si="3"/>
        <v>C</v>
      </c>
    </row>
    <row r="17" spans="1:7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15</v>
      </c>
      <c r="F17" s="1" t="s">
        <v>16</v>
      </c>
    </row>
    <row r="18" spans="1:7" x14ac:dyDescent="0.35">
      <c r="A18" s="2" t="s">
        <v>7</v>
      </c>
      <c r="B18" s="2">
        <v>80</v>
      </c>
      <c r="C18" s="2">
        <v>89</v>
      </c>
      <c r="D18" s="2">
        <v>92</v>
      </c>
      <c r="E18" s="2" t="str" cm="1">
        <f t="array" ref="E18">IF(AND(B18:D18&gt;85),"Passed with distinction", "No distinction")</f>
        <v>No distinction</v>
      </c>
      <c r="F18" s="2" t="str" cm="1">
        <f t="array" ref="F18">IF(AND(B18:D18&gt;60),"pass","fail")</f>
        <v>pass</v>
      </c>
    </row>
    <row r="19" spans="1:7" x14ac:dyDescent="0.35">
      <c r="A19" s="2" t="s">
        <v>8</v>
      </c>
      <c r="B19" s="2">
        <v>78</v>
      </c>
      <c r="C19" s="2">
        <v>85</v>
      </c>
      <c r="D19" s="2">
        <v>82</v>
      </c>
      <c r="E19" s="2" t="str" cm="1">
        <f t="array" ref="E19">IF(AND(B19:D19&gt;85),"Passed with distinction", "No distinction")</f>
        <v>No distinction</v>
      </c>
      <c r="F19" s="2" t="str" cm="1">
        <f t="array" ref="F19">IF(AND(B19:D19&gt;60),"pass","fail")</f>
        <v>pass</v>
      </c>
    </row>
    <row r="20" spans="1:7" ht="29" x14ac:dyDescent="0.35">
      <c r="A20" s="2" t="s">
        <v>9</v>
      </c>
      <c r="B20" s="2">
        <v>90</v>
      </c>
      <c r="C20" s="2">
        <v>92</v>
      </c>
      <c r="D20" s="2">
        <v>95</v>
      </c>
      <c r="E20" s="2" t="str" cm="1">
        <f t="array" ref="E20">IF(AND(B20:D20&gt;85),"Passed with distinction", "No distinction")</f>
        <v>Passed with distinction</v>
      </c>
      <c r="F20" s="2" t="str" cm="1">
        <f t="array" ref="F20">IF(AND(B20:D20&gt;60),"pass","fail")</f>
        <v>pass</v>
      </c>
    </row>
    <row r="21" spans="1:7" ht="29" x14ac:dyDescent="0.35">
      <c r="A21" s="2" t="s">
        <v>10</v>
      </c>
      <c r="B21" s="2">
        <v>92</v>
      </c>
      <c r="C21" s="2">
        <v>95</v>
      </c>
      <c r="D21" s="2">
        <v>89</v>
      </c>
      <c r="E21" s="2" t="str" cm="1">
        <f t="array" ref="E21">IF(AND(B21:D21&gt;85),"Passed with distinction", "No distinction")</f>
        <v>Passed with distinction</v>
      </c>
      <c r="F21" s="2" t="str" cm="1">
        <f t="array" ref="F21">IF(AND(B21:D21&gt;60),"pass","fail")</f>
        <v>pass</v>
      </c>
    </row>
    <row r="22" spans="1:7" x14ac:dyDescent="0.35">
      <c r="A22" s="2" t="s">
        <v>11</v>
      </c>
      <c r="B22" s="2">
        <v>96</v>
      </c>
      <c r="C22" s="2">
        <v>78</v>
      </c>
      <c r="D22" s="2">
        <v>69</v>
      </c>
      <c r="E22" s="2" t="str" cm="1">
        <f t="array" ref="E22">IF(AND(B22:D22&gt;85),"Passed with distinction", "No distinction")</f>
        <v>No distinction</v>
      </c>
      <c r="F22" s="2" t="str" cm="1">
        <f t="array" ref="F22">IF(AND(B22:D22&gt;60),"pass","fail")</f>
        <v>pass</v>
      </c>
    </row>
    <row r="25" spans="1:7" x14ac:dyDescent="0.35">
      <c r="A25" s="3" t="s">
        <v>0</v>
      </c>
      <c r="B25" s="3" t="s">
        <v>1</v>
      </c>
      <c r="C25" s="3" t="s">
        <v>2</v>
      </c>
      <c r="D25" s="3" t="s">
        <v>3</v>
      </c>
      <c r="E25" s="3" t="s">
        <v>12</v>
      </c>
      <c r="F25" s="3" t="s">
        <v>13</v>
      </c>
      <c r="G25" s="3" t="s">
        <v>14</v>
      </c>
    </row>
    <row r="26" spans="1:7" x14ac:dyDescent="0.35">
      <c r="A26" s="4" t="s">
        <v>7</v>
      </c>
      <c r="B26" s="4">
        <v>80</v>
      </c>
      <c r="C26" s="4">
        <v>89</v>
      </c>
      <c r="D26" s="4">
        <v>92</v>
      </c>
      <c r="E26" s="4" t="s">
        <v>17</v>
      </c>
      <c r="F26" s="4" t="s">
        <v>18</v>
      </c>
      <c r="G26" s="4" t="s">
        <v>18</v>
      </c>
    </row>
    <row r="27" spans="1:7" x14ac:dyDescent="0.35">
      <c r="A27" s="4" t="s">
        <v>8</v>
      </c>
      <c r="B27" s="4">
        <v>78</v>
      </c>
      <c r="C27" s="4">
        <v>85</v>
      </c>
      <c r="D27" s="4">
        <v>82</v>
      </c>
      <c r="E27" s="4" t="s">
        <v>17</v>
      </c>
      <c r="F27" s="4" t="s">
        <v>17</v>
      </c>
      <c r="G27" s="4" t="s">
        <v>17</v>
      </c>
    </row>
    <row r="28" spans="1:7" x14ac:dyDescent="0.35">
      <c r="A28" s="4" t="s">
        <v>9</v>
      </c>
      <c r="B28" s="4">
        <v>90</v>
      </c>
      <c r="C28" s="4">
        <v>92</v>
      </c>
      <c r="D28" s="4">
        <v>95</v>
      </c>
      <c r="E28" s="4" t="s">
        <v>18</v>
      </c>
      <c r="F28" s="4" t="s">
        <v>18</v>
      </c>
      <c r="G28" s="4" t="s">
        <v>18</v>
      </c>
    </row>
    <row r="29" spans="1:7" x14ac:dyDescent="0.35">
      <c r="A29" s="4" t="s">
        <v>10</v>
      </c>
      <c r="B29" s="4">
        <v>92</v>
      </c>
      <c r="C29" s="4">
        <v>95</v>
      </c>
      <c r="D29" s="4">
        <v>89</v>
      </c>
      <c r="E29" s="4" t="s">
        <v>18</v>
      </c>
      <c r="F29" s="4" t="s">
        <v>18</v>
      </c>
      <c r="G29" s="4" t="s">
        <v>18</v>
      </c>
    </row>
    <row r="30" spans="1:7" x14ac:dyDescent="0.35">
      <c r="A30" s="4" t="s">
        <v>11</v>
      </c>
      <c r="B30" s="4">
        <v>58</v>
      </c>
      <c r="C30" s="4">
        <v>78</v>
      </c>
      <c r="D30" s="4">
        <v>69</v>
      </c>
      <c r="E30" s="4" t="s">
        <v>19</v>
      </c>
      <c r="F30" s="4" t="s">
        <v>17</v>
      </c>
      <c r="G30" s="4" t="s">
        <v>19</v>
      </c>
    </row>
    <row r="32" spans="1:7" ht="29" x14ac:dyDescent="0.35">
      <c r="A32" s="1" t="s">
        <v>20</v>
      </c>
      <c r="B32" s="1" t="s">
        <v>1</v>
      </c>
      <c r="C32" s="1" t="s">
        <v>2</v>
      </c>
      <c r="D32" s="1" t="s">
        <v>3</v>
      </c>
    </row>
    <row r="33" spans="1:4" x14ac:dyDescent="0.35">
      <c r="A33" s="2" t="s">
        <v>18</v>
      </c>
      <c r="B33" s="2">
        <f>COUNTIF($E$26:$E$30,A33)</f>
        <v>2</v>
      </c>
      <c r="C33" s="2">
        <f>COUNTIF($F$26:$F$30,A33)</f>
        <v>3</v>
      </c>
      <c r="D33" s="2">
        <f>COUNTIF($G$26:$G$30,A33)</f>
        <v>3</v>
      </c>
    </row>
    <row r="34" spans="1:4" x14ac:dyDescent="0.35">
      <c r="A34" s="2" t="s">
        <v>17</v>
      </c>
      <c r="B34" s="2">
        <f t="shared" ref="B34:B35" si="4">COUNTIF($E$26:$E$30,A34)</f>
        <v>2</v>
      </c>
      <c r="C34" s="2">
        <f t="shared" ref="C34:C35" si="5">COUNTIF($F$26:$F$30,A34)</f>
        <v>2</v>
      </c>
      <c r="D34" s="2">
        <f t="shared" ref="D34:D35" si="6">COUNTIF($G$26:$G$30,A34)</f>
        <v>1</v>
      </c>
    </row>
    <row r="35" spans="1:4" x14ac:dyDescent="0.35">
      <c r="A35" s="2" t="s">
        <v>19</v>
      </c>
      <c r="B35" s="2">
        <f t="shared" si="4"/>
        <v>1</v>
      </c>
      <c r="C35" s="2">
        <f t="shared" si="5"/>
        <v>0</v>
      </c>
      <c r="D35" s="2">
        <f t="shared" si="6"/>
        <v>1</v>
      </c>
    </row>
    <row r="37" spans="1:4" x14ac:dyDescent="0.35">
      <c r="A37" s="2" t="s">
        <v>21</v>
      </c>
      <c r="B37">
        <f>COUNTIFS(B26:B30,A37,C26:C30,A37,D26:D30,A37)</f>
        <v>4</v>
      </c>
    </row>
    <row r="40" spans="1:4" ht="29" x14ac:dyDescent="0.35">
      <c r="A40" s="1" t="s">
        <v>20</v>
      </c>
      <c r="B40" s="1" t="s">
        <v>1</v>
      </c>
      <c r="C40" s="1" t="s">
        <v>2</v>
      </c>
      <c r="D40" s="1" t="s">
        <v>3</v>
      </c>
    </row>
    <row r="41" spans="1:4" x14ac:dyDescent="0.35">
      <c r="A41" s="2" t="s">
        <v>18</v>
      </c>
      <c r="B41" s="2">
        <f>SUMIF($E$26:$E$30,A41,$B$26:$B$30)</f>
        <v>182</v>
      </c>
      <c r="C41" s="2">
        <f>SUMIF($F$26:$F$30,A41,$C$26:$C$30)</f>
        <v>276</v>
      </c>
      <c r="D41" s="2">
        <f>SUMIF($G$26:$G$30,A41,$D$26:$D$30)</f>
        <v>276</v>
      </c>
    </row>
    <row r="42" spans="1:4" x14ac:dyDescent="0.35">
      <c r="A42" s="2" t="s">
        <v>17</v>
      </c>
      <c r="B42" s="2">
        <f t="shared" ref="B42:B43" si="7">SUMIF($E$26:$E$30,A42,$B$26:$B$30)</f>
        <v>158</v>
      </c>
      <c r="C42" s="2">
        <f t="shared" ref="C42:C43" si="8">SUMIF($F$26:$F$30,A42,$C$26:$C$30)</f>
        <v>163</v>
      </c>
      <c r="D42" s="2">
        <f t="shared" ref="D42:D43" si="9">SUMIF($G$26:$G$30,A42,$D$26:$D$30)</f>
        <v>82</v>
      </c>
    </row>
    <row r="43" spans="1:4" x14ac:dyDescent="0.35">
      <c r="A43" s="2" t="s">
        <v>19</v>
      </c>
      <c r="B43" s="2">
        <f t="shared" si="7"/>
        <v>58</v>
      </c>
      <c r="C43" s="2">
        <f t="shared" si="8"/>
        <v>0</v>
      </c>
      <c r="D43" s="2">
        <f t="shared" si="9"/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2026-02-14T12:21:24Z</dcterms:created>
  <dcterms:modified xsi:type="dcterms:W3CDTF">2026-02-14T13:53:38Z</dcterms:modified>
</cp:coreProperties>
</file>