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13_ncr:1_{702A5071-35E5-4796-A59B-4FE3FBE9D7C4}" xr6:coauthVersionLast="47" xr6:coauthVersionMax="47" xr10:uidLastSave="{00000000-0000-0000-0000-000000000000}"/>
  <bookViews>
    <workbookView xWindow="-110" yWindow="-110" windowWidth="21820" windowHeight="13900" xr2:uid="{2B4F7F11-F22D-4AF7-BCAC-3443622C2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2" i="1"/>
  <c r="F11" i="1"/>
  <c r="E11" i="1"/>
  <c r="D11" i="1"/>
  <c r="AB3" i="1"/>
  <c r="AB4" i="1"/>
  <c r="AB5" i="1"/>
  <c r="AB6" i="1"/>
  <c r="AB2" i="1"/>
  <c r="AA3" i="1"/>
  <c r="AA4" i="1"/>
  <c r="AA5" i="1"/>
  <c r="AA6" i="1"/>
  <c r="AA2" i="1"/>
  <c r="Z3" i="1"/>
  <c r="Z4" i="1"/>
  <c r="Z5" i="1"/>
  <c r="Z6" i="1"/>
  <c r="Z2" i="1"/>
  <c r="Y2" i="1"/>
  <c r="X2" i="1" s="1"/>
  <c r="Y3" i="1"/>
  <c r="X3" i="1" s="1"/>
  <c r="Y4" i="1"/>
  <c r="X4" i="1" s="1"/>
  <c r="Y5" i="1"/>
  <c r="X5" i="1" s="1"/>
  <c r="Y6" i="1"/>
  <c r="X6" i="1" s="1"/>
  <c r="W3" i="1"/>
  <c r="W4" i="1"/>
  <c r="W5" i="1"/>
  <c r="W6" i="1"/>
  <c r="W2" i="1"/>
  <c r="V5" i="1"/>
  <c r="U3" i="1"/>
  <c r="U4" i="1"/>
  <c r="U5" i="1"/>
  <c r="U6" i="1"/>
  <c r="U2" i="1"/>
  <c r="T3" i="1"/>
  <c r="T4" i="1"/>
  <c r="T5" i="1"/>
  <c r="T6" i="1"/>
  <c r="T2" i="1"/>
  <c r="R3" i="1"/>
  <c r="R4" i="1"/>
  <c r="R5" i="1"/>
  <c r="R6" i="1"/>
  <c r="R2" i="1"/>
  <c r="P4" i="1"/>
  <c r="O5" i="1"/>
  <c r="O6" i="1"/>
  <c r="N3" i="1"/>
  <c r="O3" i="1" s="1"/>
  <c r="N4" i="1"/>
  <c r="O4" i="1" s="1"/>
  <c r="N5" i="1"/>
  <c r="P5" i="1" s="1"/>
  <c r="N6" i="1"/>
  <c r="P6" i="1" s="1"/>
  <c r="N2" i="1"/>
  <c r="P2" i="1" s="1"/>
  <c r="M3" i="1"/>
  <c r="Q3" i="1" s="1"/>
  <c r="M4" i="1"/>
  <c r="Q4" i="1" s="1"/>
  <c r="M5" i="1"/>
  <c r="M6" i="1"/>
  <c r="M2" i="1"/>
  <c r="Q2" i="1" s="1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O2" i="1" l="1"/>
  <c r="P3" i="1"/>
  <c r="Q6" i="1"/>
  <c r="Q5" i="1"/>
</calcChain>
</file>

<file path=xl/sharedStrings.xml><?xml version="1.0" encoding="utf-8"?>
<sst xmlns="http://schemas.openxmlformats.org/spreadsheetml/2006/main" count="47" uniqueCount="44">
  <si>
    <t>ID</t>
  </si>
  <si>
    <t>Name</t>
  </si>
  <si>
    <t>Number1</t>
  </si>
  <si>
    <t>Number2</t>
  </si>
  <si>
    <t>Computer</t>
  </si>
  <si>
    <t>Geography</t>
  </si>
  <si>
    <t>English</t>
  </si>
  <si>
    <t>Text</t>
  </si>
  <si>
    <t>DOB</t>
  </si>
  <si>
    <t>Aarav</t>
  </si>
  <si>
    <t>The sky is blue</t>
  </si>
  <si>
    <t>Diya</t>
  </si>
  <si>
    <t>I love Excel</t>
  </si>
  <si>
    <t>Kabir</t>
  </si>
  <si>
    <t>Monday</t>
  </si>
  <si>
    <t>Meera</t>
  </si>
  <si>
    <t>My school</t>
  </si>
  <si>
    <t>Rohan</t>
  </si>
  <si>
    <t>Practice makes perfect</t>
  </si>
  <si>
    <t>sum(num1&amp;num2)</t>
  </si>
  <si>
    <t>sum + 10</t>
  </si>
  <si>
    <t>product(num1&amp;num2</t>
  </si>
  <si>
    <t>total marks</t>
  </si>
  <si>
    <t>average marks</t>
  </si>
  <si>
    <t>grade</t>
  </si>
  <si>
    <t>distinction</t>
  </si>
  <si>
    <t>pass/fail</t>
  </si>
  <si>
    <t>above 85 computer marks</t>
  </si>
  <si>
    <t>rank</t>
  </si>
  <si>
    <t>uppercase(text)</t>
  </si>
  <si>
    <t>lowercase(text)</t>
  </si>
  <si>
    <t>new</t>
  </si>
  <si>
    <t>text len</t>
  </si>
  <si>
    <t>age in years</t>
  </si>
  <si>
    <t>total days lived</t>
  </si>
  <si>
    <t>day</t>
  </si>
  <si>
    <t>months</t>
  </si>
  <si>
    <t>years</t>
  </si>
  <si>
    <t>Subject</t>
  </si>
  <si>
    <t>Max Marks</t>
  </si>
  <si>
    <t>Min Marks</t>
  </si>
  <si>
    <t>max computer</t>
  </si>
  <si>
    <t>min english</t>
  </si>
  <si>
    <t>max 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</si>
</sst>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FCE2-658A-4060-9657-EFA4F24346D1}">
  <dimension ref="A1:AB15"/>
  <sheetViews>
    <sheetView tabSelected="1" workbookViewId="0">
      <selection activeCell="V10" sqref="V10"/>
    </sheetView>
  </sheetViews>
  <sheetFormatPr defaultRowHeight="14.5" x14ac:dyDescent="0.35"/>
  <cols>
    <col min="1" max="1" width="9.453125" bestFit="1" customWidth="1"/>
    <col min="2" max="2" width="9.54296875" bestFit="1" customWidth="1"/>
    <col min="3" max="3" width="9.26953125" bestFit="1" customWidth="1"/>
    <col min="4" max="4" width="12.90625" bestFit="1" customWidth="1"/>
    <col min="5" max="5" width="10.54296875" bestFit="1" customWidth="1"/>
    <col min="6" max="6" width="13.36328125" bestFit="1" customWidth="1"/>
    <col min="7" max="7" width="6.90625" bestFit="1" customWidth="1"/>
    <col min="8" max="8" width="19.7265625" bestFit="1" customWidth="1"/>
    <col min="9" max="9" width="10.08984375" bestFit="1" customWidth="1"/>
    <col min="10" max="10" width="16.6328125" bestFit="1" customWidth="1"/>
    <col min="12" max="12" width="19" bestFit="1" customWidth="1"/>
    <col min="13" max="13" width="10.1796875" bestFit="1" customWidth="1"/>
    <col min="14" max="14" width="12.90625" bestFit="1" customWidth="1"/>
    <col min="16" max="16" width="12.26953125" bestFit="1" customWidth="1"/>
    <col min="18" max="18" width="22.453125" bestFit="1" customWidth="1"/>
    <col min="20" max="20" width="22.90625" bestFit="1" customWidth="1"/>
    <col min="21" max="21" width="19.6328125" bestFit="1" customWidth="1"/>
    <col min="22" max="22" width="9.26953125" bestFit="1" customWidth="1"/>
    <col min="24" max="24" width="10.54296875" bestFit="1" customWidth="1"/>
    <col min="25" max="25" width="13.4531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5" t="s">
        <v>35</v>
      </c>
      <c r="AA1" s="5" t="s">
        <v>36</v>
      </c>
      <c r="AB1" s="5" t="s">
        <v>37</v>
      </c>
    </row>
    <row r="2" spans="1:28" x14ac:dyDescent="0.35">
      <c r="A2" s="2">
        <v>101</v>
      </c>
      <c r="B2" s="2" t="s">
        <v>9</v>
      </c>
      <c r="C2" s="2">
        <v>12</v>
      </c>
      <c r="D2" s="2">
        <v>8</v>
      </c>
      <c r="E2" s="2">
        <v>88</v>
      </c>
      <c r="F2" s="2">
        <v>91</v>
      </c>
      <c r="G2" s="2">
        <v>84</v>
      </c>
      <c r="H2" s="2" t="s">
        <v>10</v>
      </c>
      <c r="I2" s="4">
        <v>37023</v>
      </c>
      <c r="J2">
        <f>SUM(C2:D2)</f>
        <v>20</v>
      </c>
      <c r="K2">
        <f>SUM(C2:D2,10)</f>
        <v>30</v>
      </c>
      <c r="L2">
        <f>PRODUCT(C2:D2)</f>
        <v>96</v>
      </c>
      <c r="M2">
        <f>SUM(E2:G2)</f>
        <v>263</v>
      </c>
      <c r="N2">
        <f>AVERAGE(E2:G2)</f>
        <v>87.666666666666671</v>
      </c>
      <c r="O2" t="str">
        <f>IF(N2&gt;=90,"A",IF(N2&gt;=80,"B","C"))</f>
        <v>B</v>
      </c>
      <c r="P2" t="str">
        <f>IF(N2&gt;=90,"Distinction","No Distinction")</f>
        <v>No Distinction</v>
      </c>
      <c r="Q2" t="str">
        <f>IF(M2&gt;=120,"pass","fail")</f>
        <v>pass</v>
      </c>
      <c r="R2" t="str">
        <f>IF(E2&gt;85,"true","false")</f>
        <v>true</v>
      </c>
      <c r="S2">
        <f>_xlfn.RANK.EQ(M2,$M$2:$M$6,0)</f>
        <v>3</v>
      </c>
      <c r="T2" t="str">
        <f>UPPER(H2)</f>
        <v>THE SKY IS BLUE</v>
      </c>
      <c r="U2" t="str">
        <f>LOWER(H2)</f>
        <v>the sky is blue</v>
      </c>
      <c r="W2">
        <f>LEN(H2)</f>
        <v>15</v>
      </c>
      <c r="X2" s="8">
        <f ca="1">Y2/365</f>
        <v>24.794520547945204</v>
      </c>
      <c r="Y2">
        <f ca="1">_xlfn.DAYS(TODAY(),I2)</f>
        <v>9050</v>
      </c>
      <c r="Z2">
        <f>DAY(I2)</f>
        <v>12</v>
      </c>
      <c r="AA2">
        <f>MONTH(I2)</f>
        <v>5</v>
      </c>
      <c r="AB2">
        <f>YEAR(I2)</f>
        <v>2001</v>
      </c>
    </row>
    <row r="3" spans="1:28" x14ac:dyDescent="0.35">
      <c r="A3" s="2">
        <v>102</v>
      </c>
      <c r="B3" s="2" t="s">
        <v>11</v>
      </c>
      <c r="C3" s="2">
        <v>25</v>
      </c>
      <c r="D3" s="2">
        <v>15</v>
      </c>
      <c r="E3" s="2">
        <v>76</v>
      </c>
      <c r="F3" s="2">
        <v>85</v>
      </c>
      <c r="G3" s="2">
        <v>79</v>
      </c>
      <c r="H3" s="2" t="s">
        <v>12</v>
      </c>
      <c r="I3" s="7">
        <v>36763</v>
      </c>
      <c r="J3">
        <f t="shared" ref="J3:J6" si="0">SUM(C3:D3)</f>
        <v>40</v>
      </c>
      <c r="K3">
        <f t="shared" ref="K3:K6" si="1">SUM(C3:D3,10)</f>
        <v>50</v>
      </c>
      <c r="L3">
        <f t="shared" ref="L3:L6" si="2">PRODUCT(C3:D3)</f>
        <v>375</v>
      </c>
      <c r="M3">
        <f t="shared" ref="M3:M6" si="3">SUM(E3:G3)</f>
        <v>240</v>
      </c>
      <c r="N3">
        <f t="shared" ref="N3:N6" si="4">AVERAGE(E3:G3)</f>
        <v>80</v>
      </c>
      <c r="O3" t="str">
        <f>IF(N3&gt;=90,"A",IF(N3&gt;=80,"B","C"))</f>
        <v>B</v>
      </c>
      <c r="P3" t="str">
        <f t="shared" ref="P3:P6" si="5">IF(N3&gt;=90,"Distinction","No Distinction")</f>
        <v>No Distinction</v>
      </c>
      <c r="Q3" t="str">
        <f t="shared" ref="Q3:Q6" si="6">IF(M3&gt;=120,"pass","fail")</f>
        <v>pass</v>
      </c>
      <c r="R3" t="str">
        <f t="shared" ref="R3:R6" si="7">IF(E3&gt;85,"true","false")</f>
        <v>false</v>
      </c>
      <c r="S3">
        <f t="shared" ref="S3:S6" si="8">_xlfn.RANK.EQ(M3,$M$2:$M$6,0)</f>
        <v>5</v>
      </c>
      <c r="T3" t="str">
        <f t="shared" ref="T3:T6" si="9">UPPER(H3)</f>
        <v>I LOVE EXCEL</v>
      </c>
      <c r="U3" t="str">
        <f t="shared" ref="U3:U6" si="10">LOWER(H3)</f>
        <v>i love excel</v>
      </c>
      <c r="W3">
        <f t="shared" ref="W3:W6" si="11">LEN(H3)</f>
        <v>12</v>
      </c>
      <c r="X3" s="8">
        <f t="shared" ref="X3:X6" ca="1" si="12">Y3/365</f>
        <v>25.506849315068493</v>
      </c>
      <c r="Y3">
        <f t="shared" ref="Y3:Y6" ca="1" si="13">_xlfn.DAYS(TODAY(),I3)</f>
        <v>9310</v>
      </c>
      <c r="Z3">
        <f t="shared" ref="Z3:Z6" si="14">DAY(I3)</f>
        <v>25</v>
      </c>
      <c r="AA3">
        <f t="shared" ref="AA3:AA6" si="15">MONTH(I3)</f>
        <v>8</v>
      </c>
      <c r="AB3">
        <f t="shared" ref="AB3:AB6" si="16">YEAR(I3)</f>
        <v>2000</v>
      </c>
    </row>
    <row r="4" spans="1:28" x14ac:dyDescent="0.35">
      <c r="A4" s="2">
        <v>103</v>
      </c>
      <c r="B4" s="2" t="s">
        <v>13</v>
      </c>
      <c r="C4" s="2">
        <v>40</v>
      </c>
      <c r="D4" s="2">
        <v>10</v>
      </c>
      <c r="E4" s="2">
        <v>92</v>
      </c>
      <c r="F4" s="2">
        <v>89</v>
      </c>
      <c r="G4" s="2">
        <v>95</v>
      </c>
      <c r="H4" s="2" t="s">
        <v>14</v>
      </c>
      <c r="I4" s="4">
        <v>36222</v>
      </c>
      <c r="J4">
        <f t="shared" si="0"/>
        <v>50</v>
      </c>
      <c r="K4">
        <f t="shared" si="1"/>
        <v>60</v>
      </c>
      <c r="L4">
        <f t="shared" si="2"/>
        <v>400</v>
      </c>
      <c r="M4">
        <f t="shared" si="3"/>
        <v>276</v>
      </c>
      <c r="N4">
        <f t="shared" si="4"/>
        <v>92</v>
      </c>
      <c r="O4" t="str">
        <f t="shared" ref="O4:O6" si="17">IF(N4&gt;=90,"A",IF(N4&gt;=80,"B","C"))</f>
        <v>A</v>
      </c>
      <c r="P4" t="str">
        <f t="shared" si="5"/>
        <v>Distinction</v>
      </c>
      <c r="Q4" t="str">
        <f t="shared" si="6"/>
        <v>pass</v>
      </c>
      <c r="R4" t="str">
        <f t="shared" si="7"/>
        <v>true</v>
      </c>
      <c r="S4">
        <f t="shared" si="8"/>
        <v>1</v>
      </c>
      <c r="T4" t="str">
        <f t="shared" si="9"/>
        <v>MONDAY</v>
      </c>
      <c r="U4" t="str">
        <f t="shared" si="10"/>
        <v>monday</v>
      </c>
      <c r="W4">
        <f t="shared" si="11"/>
        <v>6</v>
      </c>
      <c r="X4" s="8">
        <f t="shared" ca="1" si="12"/>
        <v>26.989041095890411</v>
      </c>
      <c r="Y4">
        <f t="shared" ca="1" si="13"/>
        <v>9851</v>
      </c>
      <c r="Z4">
        <f t="shared" si="14"/>
        <v>3</v>
      </c>
      <c r="AA4">
        <f t="shared" si="15"/>
        <v>3</v>
      </c>
      <c r="AB4">
        <f t="shared" si="16"/>
        <v>1999</v>
      </c>
    </row>
    <row r="5" spans="1:28" x14ac:dyDescent="0.35">
      <c r="A5" s="2">
        <v>104</v>
      </c>
      <c r="B5" s="2" t="s">
        <v>15</v>
      </c>
      <c r="C5" s="2">
        <v>-5</v>
      </c>
      <c r="D5" s="2">
        <v>20</v>
      </c>
      <c r="E5" s="2">
        <v>81</v>
      </c>
      <c r="F5" s="2">
        <v>87</v>
      </c>
      <c r="G5" s="2">
        <v>90</v>
      </c>
      <c r="H5" s="2" t="s">
        <v>16</v>
      </c>
      <c r="I5" s="4">
        <v>37577</v>
      </c>
      <c r="J5">
        <f t="shared" si="0"/>
        <v>15</v>
      </c>
      <c r="K5">
        <f t="shared" si="1"/>
        <v>25</v>
      </c>
      <c r="L5">
        <f t="shared" si="2"/>
        <v>-100</v>
      </c>
      <c r="M5">
        <f t="shared" si="3"/>
        <v>258</v>
      </c>
      <c r="N5">
        <f t="shared" si="4"/>
        <v>86</v>
      </c>
      <c r="O5" t="str">
        <f t="shared" si="17"/>
        <v>B</v>
      </c>
      <c r="P5" t="str">
        <f t="shared" si="5"/>
        <v>No Distinction</v>
      </c>
      <c r="Q5" t="str">
        <f t="shared" si="6"/>
        <v>pass</v>
      </c>
      <c r="R5" t="str">
        <f t="shared" si="7"/>
        <v>false</v>
      </c>
      <c r="S5">
        <f t="shared" si="8"/>
        <v>4</v>
      </c>
      <c r="T5" t="str">
        <f t="shared" si="9"/>
        <v>MY SCHOOL</v>
      </c>
      <c r="U5" t="str">
        <f t="shared" si="10"/>
        <v>my school</v>
      </c>
      <c r="V5" t="str">
        <f>SUBSTITUTE(H5,"school","college")</f>
        <v>My college</v>
      </c>
      <c r="W5">
        <f t="shared" si="11"/>
        <v>9</v>
      </c>
      <c r="X5" s="8">
        <f t="shared" ca="1" si="12"/>
        <v>23.276712328767122</v>
      </c>
      <c r="Y5">
        <f t="shared" ca="1" si="13"/>
        <v>8496</v>
      </c>
      <c r="Z5">
        <f t="shared" si="14"/>
        <v>17</v>
      </c>
      <c r="AA5">
        <f t="shared" si="15"/>
        <v>11</v>
      </c>
      <c r="AB5">
        <f t="shared" si="16"/>
        <v>2002</v>
      </c>
    </row>
    <row r="6" spans="1:28" x14ac:dyDescent="0.35">
      <c r="A6" s="2">
        <v>105</v>
      </c>
      <c r="B6" s="2" t="s">
        <v>17</v>
      </c>
      <c r="C6" s="2">
        <v>18</v>
      </c>
      <c r="D6" s="2">
        <v>12</v>
      </c>
      <c r="E6" s="2">
        <v>95</v>
      </c>
      <c r="F6" s="2">
        <v>93</v>
      </c>
      <c r="G6" s="2">
        <v>88</v>
      </c>
      <c r="H6" s="2" t="s">
        <v>18</v>
      </c>
      <c r="I6" s="4">
        <v>36900</v>
      </c>
      <c r="J6">
        <f t="shared" si="0"/>
        <v>30</v>
      </c>
      <c r="K6">
        <f t="shared" si="1"/>
        <v>40</v>
      </c>
      <c r="L6">
        <f t="shared" si="2"/>
        <v>216</v>
      </c>
      <c r="M6">
        <f t="shared" si="3"/>
        <v>276</v>
      </c>
      <c r="N6">
        <f t="shared" si="4"/>
        <v>92</v>
      </c>
      <c r="O6" t="str">
        <f t="shared" si="17"/>
        <v>A</v>
      </c>
      <c r="P6" t="str">
        <f t="shared" si="5"/>
        <v>Distinction</v>
      </c>
      <c r="Q6" t="str">
        <f t="shared" si="6"/>
        <v>pass</v>
      </c>
      <c r="R6" t="str">
        <f t="shared" si="7"/>
        <v>true</v>
      </c>
      <c r="S6">
        <f t="shared" si="8"/>
        <v>1</v>
      </c>
      <c r="T6" t="str">
        <f t="shared" si="9"/>
        <v>PRACTICE MAKES PERFECT</v>
      </c>
      <c r="U6" t="str">
        <f t="shared" si="10"/>
        <v>practice makes perfect</v>
      </c>
      <c r="W6">
        <f t="shared" si="11"/>
        <v>22</v>
      </c>
      <c r="X6" s="8">
        <f t="shared" ca="1" si="12"/>
        <v>25.13150684931507</v>
      </c>
      <c r="Y6">
        <f t="shared" ca="1" si="13"/>
        <v>9173</v>
      </c>
      <c r="Z6">
        <f t="shared" si="14"/>
        <v>9</v>
      </c>
      <c r="AA6">
        <f t="shared" si="15"/>
        <v>1</v>
      </c>
      <c r="AB6">
        <f t="shared" si="16"/>
        <v>2001</v>
      </c>
    </row>
    <row r="10" spans="1:28" x14ac:dyDescent="0.35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43</v>
      </c>
    </row>
    <row r="11" spans="1:28" x14ac:dyDescent="0.35">
      <c r="A11" s="6" t="s">
        <v>4</v>
      </c>
      <c r="B11" s="6">
        <v>95</v>
      </c>
      <c r="C11" s="6">
        <v>76</v>
      </c>
      <c r="D11">
        <f>VLOOKUP(A11,A11:C13,2,FALSE)</f>
        <v>95</v>
      </c>
      <c r="E11" t="e">
        <f>_xlfn.XLOOKUP(A13,A13:C13,MAX(A13:C13))</f>
        <v>#VALUE!</v>
      </c>
      <c r="F11">
        <f>INDEX(A11:C13,MATCH(A12,A11:A13,0),2)</f>
        <v>93</v>
      </c>
    </row>
    <row r="12" spans="1:28" x14ac:dyDescent="0.35">
      <c r="A12" s="6" t="s">
        <v>5</v>
      </c>
      <c r="B12" s="6">
        <v>93</v>
      </c>
      <c r="C12" s="6">
        <v>85</v>
      </c>
    </row>
    <row r="13" spans="1:28" x14ac:dyDescent="0.35">
      <c r="A13" s="6" t="s">
        <v>6</v>
      </c>
      <c r="B13" s="6">
        <v>95</v>
      </c>
      <c r="C13" s="6">
        <v>79</v>
      </c>
    </row>
    <row r="15" spans="1:28" x14ac:dyDescent="0.35">
      <c r="J15" s="3"/>
    </row>
  </sheetData>
  <pageMargins left="0.7" right="0.7" top="0.75" bottom="0.75" header="0.3" footer="0.3"/>
  <ignoredErrors>
    <ignoredError sqref="J2:J6 K2:K6 L2:L6 M2:M6 N2:N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2026-02-20T13:10:43Z</dcterms:created>
  <dcterms:modified xsi:type="dcterms:W3CDTF">2026-02-20T14:37:26Z</dcterms:modified>
</cp:coreProperties>
</file>