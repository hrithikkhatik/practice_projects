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5B5A15DA-494F-4F45-B472-7D17C52E310E}" xr6:coauthVersionLast="47" xr6:coauthVersionMax="47" xr10:uidLastSave="{00000000-0000-0000-0000-000000000000}"/>
  <bookViews>
    <workbookView xWindow="-110" yWindow="-110" windowWidth="21820" windowHeight="13900" xr2:uid="{FB1C8EC3-64E0-4831-80DB-B9F7E0DC83F7}"/>
  </bookViews>
  <sheets>
    <sheet name="Sheet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6" i="4" l="1" a="1"/>
  <c r="H16" i="4" s="1"/>
  <c r="I42" i="4"/>
  <c r="B37" i="4"/>
  <c r="H17" i="4" a="1"/>
  <c r="H17" i="4" s="1"/>
  <c r="H18" i="4" a="1"/>
  <c r="H18" i="4" s="1"/>
  <c r="H19" i="4" a="1"/>
  <c r="H19" i="4" s="1"/>
  <c r="H20" i="4" a="1"/>
  <c r="H20" i="4" s="1"/>
  <c r="C24" i="4"/>
  <c r="C12" i="4"/>
  <c r="B11" i="4"/>
  <c r="G3" i="4"/>
  <c r="G4" i="4"/>
  <c r="G5" i="4"/>
  <c r="G6" i="4"/>
  <c r="G7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<sst xmlns="http://schemas.openxmlformats.org/spreadsheetml/2006/main" count="76" uniqueCount="39">
  <si>
    <t>Name</t>
  </si>
  <si>
    <t>Computer</t>
  </si>
  <si>
    <t>Geography</t>
  </si>
  <si>
    <t>English</t>
  </si>
  <si>
    <t>Maths</t>
  </si>
  <si>
    <t>Jaya</t>
  </si>
  <si>
    <t>Maya</t>
  </si>
  <si>
    <t>Yash</t>
  </si>
  <si>
    <t>Trina</t>
  </si>
  <si>
    <t>Sam</t>
  </si>
  <si>
    <t>student name</t>
  </si>
  <si>
    <t>maths marks</t>
  </si>
  <si>
    <t>Student 1</t>
  </si>
  <si>
    <t>Student 2</t>
  </si>
  <si>
    <t>Student 3</t>
  </si>
  <si>
    <t>Student 4</t>
  </si>
  <si>
    <t>Student 5</t>
  </si>
  <si>
    <t>maya</t>
  </si>
  <si>
    <t>yash</t>
  </si>
  <si>
    <t>trina</t>
  </si>
  <si>
    <t>jaya</t>
  </si>
  <si>
    <t>Max</t>
  </si>
  <si>
    <t>Chemistry</t>
  </si>
  <si>
    <t>geography</t>
  </si>
  <si>
    <t>marks</t>
  </si>
  <si>
    <t>english</t>
  </si>
  <si>
    <t>name</t>
  </si>
  <si>
    <t>subject</t>
  </si>
  <si>
    <t>subject name</t>
  </si>
  <si>
    <t>using vlookup</t>
  </si>
  <si>
    <t>using hlookup</t>
  </si>
  <si>
    <t>student number</t>
  </si>
  <si>
    <t>subject number</t>
  </si>
  <si>
    <t>using match</t>
  </si>
  <si>
    <t>using index and match</t>
  </si>
  <si>
    <t>k</t>
  </si>
  <si>
    <t>uaing index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</si>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</sst>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8BAF5-2383-451D-8E07-E928632D8655}">
  <dimension ref="A1:I46"/>
  <sheetViews>
    <sheetView tabSelected="1" topLeftCell="A9" workbookViewId="0">
      <selection activeCell="G18" sqref="G18"/>
    </sheetView>
  </sheetViews>
  <sheetFormatPr defaultRowHeight="14.5" x14ac:dyDescent="0.35"/>
  <cols>
    <col min="1" max="1" width="19.81640625" bestFit="1" customWidth="1"/>
    <col min="2" max="2" width="9.1796875" bestFit="1" customWidth="1"/>
    <col min="3" max="3" width="9.7265625" bestFit="1" customWidth="1"/>
    <col min="4" max="4" width="6.90625" bestFit="1" customWidth="1"/>
    <col min="5" max="5" width="5.90625" bestFit="1" customWidth="1"/>
    <col min="6" max="6" width="14.26953125" bestFit="1" customWidth="1"/>
    <col min="7" max="7" width="14.08984375" bestFit="1" customWidth="1"/>
    <col min="8" max="8" width="12.1796875" bestFit="1" customWidth="1"/>
  </cols>
  <sheetData>
    <row r="1" spans="1:9" x14ac:dyDescent="0.35">
      <c r="A1" s="5" t="s">
        <v>29</v>
      </c>
    </row>
    <row r="2" spans="1:9" s="5" customForma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3" t="s">
        <v>10</v>
      </c>
      <c r="G2" s="3" t="s">
        <v>11</v>
      </c>
      <c r="H2" s="3"/>
      <c r="I2" s="3"/>
    </row>
    <row r="3" spans="1:9" x14ac:dyDescent="0.35">
      <c r="A3" s="2" t="s">
        <v>5</v>
      </c>
      <c r="B3" s="2">
        <v>80</v>
      </c>
      <c r="C3" s="2">
        <v>89</v>
      </c>
      <c r="D3" s="2">
        <v>92</v>
      </c>
      <c r="E3" s="2">
        <v>89</v>
      </c>
      <c r="F3" s="2" t="s">
        <v>20</v>
      </c>
      <c r="G3" s="4">
        <f>VLOOKUP(F3,$A$2:$E$7,5,FALSE)</f>
        <v>89</v>
      </c>
      <c r="H3" s="1"/>
      <c r="I3" s="8"/>
    </row>
    <row r="4" spans="1:9" x14ac:dyDescent="0.35">
      <c r="A4" s="2" t="s">
        <v>6</v>
      </c>
      <c r="B4" s="2">
        <v>78</v>
      </c>
      <c r="C4" s="2">
        <v>85</v>
      </c>
      <c r="D4" s="2">
        <v>82</v>
      </c>
      <c r="E4" s="2">
        <v>90</v>
      </c>
      <c r="F4" s="2" t="s">
        <v>17</v>
      </c>
      <c r="G4" s="4">
        <f t="shared" ref="G4:G7" si="0">VLOOKUP(F4,A$3:E$7,5,FALSE)</f>
        <v>90</v>
      </c>
      <c r="I4" s="8"/>
    </row>
    <row r="5" spans="1:9" x14ac:dyDescent="0.35">
      <c r="A5" s="2" t="s">
        <v>7</v>
      </c>
      <c r="B5" s="2">
        <v>90</v>
      </c>
      <c r="C5" s="2">
        <v>92</v>
      </c>
      <c r="D5" s="2">
        <v>95</v>
      </c>
      <c r="E5" s="2">
        <v>87</v>
      </c>
      <c r="F5" s="2" t="s">
        <v>18</v>
      </c>
      <c r="G5" s="4">
        <f t="shared" si="0"/>
        <v>87</v>
      </c>
      <c r="H5" s="8"/>
      <c r="I5" s="8"/>
    </row>
    <row r="6" spans="1:9" x14ac:dyDescent="0.35">
      <c r="A6" s="2" t="s">
        <v>8</v>
      </c>
      <c r="B6" s="2">
        <v>58</v>
      </c>
      <c r="C6" s="2">
        <v>78</v>
      </c>
      <c r="D6" s="2">
        <v>69</v>
      </c>
      <c r="E6" s="2">
        <v>76</v>
      </c>
      <c r="F6" s="2" t="s">
        <v>19</v>
      </c>
      <c r="G6" s="4">
        <f t="shared" si="0"/>
        <v>76</v>
      </c>
      <c r="H6" s="8"/>
      <c r="I6" s="8"/>
    </row>
    <row r="7" spans="1:9" x14ac:dyDescent="0.35">
      <c r="A7" s="2" t="s">
        <v>9</v>
      </c>
      <c r="B7" s="2">
        <v>92</v>
      </c>
      <c r="C7" s="2">
        <v>95</v>
      </c>
      <c r="D7" s="2">
        <v>89</v>
      </c>
      <c r="E7" s="2">
        <v>68</v>
      </c>
      <c r="F7" s="2" t="s">
        <v>35</v>
      </c>
      <c r="G7" s="4" t="e">
        <f t="shared" si="0"/>
        <v>#N/A</v>
      </c>
      <c r="H7" s="8"/>
      <c r="I7" s="8"/>
    </row>
    <row r="9" spans="1:9" x14ac:dyDescent="0.35">
      <c r="A9" s="6" t="s">
        <v>30</v>
      </c>
    </row>
    <row r="10" spans="1:9" x14ac:dyDescent="0.35">
      <c r="A10" s="2" t="s">
        <v>26</v>
      </c>
      <c r="B10" t="s">
        <v>23</v>
      </c>
      <c r="C10" t="s">
        <v>25</v>
      </c>
    </row>
    <row r="11" spans="1:9" x14ac:dyDescent="0.35">
      <c r="A11" s="2" t="s">
        <v>18</v>
      </c>
      <c r="B11">
        <f>HLOOKUP(C2,$B$2:$E$7,4,FALSE)</f>
        <v>92</v>
      </c>
    </row>
    <row r="12" spans="1:9" x14ac:dyDescent="0.35">
      <c r="A12" s="2" t="s">
        <v>17</v>
      </c>
      <c r="C12">
        <f>HLOOKUP(D2,B2:E7,3,FALSE)</f>
        <v>82</v>
      </c>
    </row>
    <row r="13" spans="1:9" x14ac:dyDescent="0.35">
      <c r="A13" s="2"/>
    </row>
    <row r="14" spans="1:9" x14ac:dyDescent="0.35">
      <c r="A14" s="7" t="s">
        <v>36</v>
      </c>
    </row>
    <row r="15" spans="1:9" x14ac:dyDescent="0.3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3" t="s">
        <v>31</v>
      </c>
      <c r="G15" s="3" t="s">
        <v>32</v>
      </c>
      <c r="H15" s="1" t="s">
        <v>24</v>
      </c>
    </row>
    <row r="16" spans="1:9" x14ac:dyDescent="0.35">
      <c r="A16" s="2" t="s">
        <v>12</v>
      </c>
      <c r="B16" s="2">
        <v>80</v>
      </c>
      <c r="C16" s="2">
        <v>89</v>
      </c>
      <c r="D16" s="2">
        <v>92</v>
      </c>
      <c r="E16" s="2">
        <v>89</v>
      </c>
      <c r="F16" s="2">
        <v>1</v>
      </c>
      <c r="G16" s="2">
        <v>2</v>
      </c>
      <c r="H16" cm="1">
        <f t="array" ref="H16">INDEX($B$16:$E$20,F16,G16)</f>
        <v>89</v>
      </c>
    </row>
    <row r="17" spans="1:8" x14ac:dyDescent="0.35">
      <c r="A17" s="2" t="s">
        <v>13</v>
      </c>
      <c r="B17" s="2">
        <v>78</v>
      </c>
      <c r="C17" s="2">
        <v>85</v>
      </c>
      <c r="D17" s="2">
        <v>82</v>
      </c>
      <c r="E17" s="2">
        <v>90</v>
      </c>
      <c r="F17" s="2">
        <v>2</v>
      </c>
      <c r="G17" s="2">
        <v>2</v>
      </c>
      <c r="H17" cm="1">
        <f t="array" ref="H17">INDEX($B$16:$E$20,F17,G17)</f>
        <v>85</v>
      </c>
    </row>
    <row r="18" spans="1:8" x14ac:dyDescent="0.35">
      <c r="A18" s="2" t="s">
        <v>14</v>
      </c>
      <c r="B18" s="2">
        <v>90</v>
      </c>
      <c r="C18" s="2">
        <v>92</v>
      </c>
      <c r="D18" s="2">
        <v>95</v>
      </c>
      <c r="E18" s="2">
        <v>87</v>
      </c>
      <c r="F18" s="2">
        <v>3</v>
      </c>
      <c r="G18" s="2">
        <v>4</v>
      </c>
      <c r="H18" cm="1">
        <f t="array" ref="H18">INDEX($B$16:$E$20,F18,G18)</f>
        <v>87</v>
      </c>
    </row>
    <row r="19" spans="1:8" x14ac:dyDescent="0.35">
      <c r="A19" s="2" t="s">
        <v>15</v>
      </c>
      <c r="B19" s="2">
        <v>92</v>
      </c>
      <c r="C19" s="2">
        <v>95</v>
      </c>
      <c r="D19" s="2">
        <v>89</v>
      </c>
      <c r="E19" s="2">
        <v>68</v>
      </c>
      <c r="F19" s="2">
        <v>2</v>
      </c>
      <c r="G19" s="2">
        <v>3</v>
      </c>
      <c r="H19" cm="1">
        <f t="array" ref="H19">INDEX($B$16:$E$20,F19,G19)</f>
        <v>82</v>
      </c>
    </row>
    <row r="20" spans="1:8" x14ac:dyDescent="0.35">
      <c r="A20" s="2" t="s">
        <v>16</v>
      </c>
      <c r="B20" s="2">
        <v>58</v>
      </c>
      <c r="C20" s="2">
        <v>78</v>
      </c>
      <c r="D20" s="2">
        <v>69</v>
      </c>
      <c r="E20" s="2">
        <v>76</v>
      </c>
      <c r="F20">
        <v>2</v>
      </c>
      <c r="G20">
        <v>1</v>
      </c>
      <c r="H20" cm="1">
        <f t="array" ref="H20">INDEX($B$16:$E$20,F20,G20)</f>
        <v>78</v>
      </c>
    </row>
    <row r="23" spans="1:8" x14ac:dyDescent="0.35">
      <c r="A23" s="2" t="s">
        <v>26</v>
      </c>
      <c r="B23" t="s">
        <v>25</v>
      </c>
      <c r="C23" t="s">
        <v>24</v>
      </c>
    </row>
    <row r="24" spans="1:8" x14ac:dyDescent="0.35">
      <c r="A24" s="2" t="s">
        <v>15</v>
      </c>
      <c r="B24" t="s">
        <v>25</v>
      </c>
      <c r="C24">
        <f>INDEX(A15:E20,5,4)</f>
        <v>89</v>
      </c>
    </row>
    <row r="27" spans="1:8" x14ac:dyDescent="0.35">
      <c r="A27" s="5" t="s">
        <v>33</v>
      </c>
    </row>
    <row r="28" spans="1:8" x14ac:dyDescent="0.35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21</v>
      </c>
    </row>
    <row r="29" spans="1:8" x14ac:dyDescent="0.35">
      <c r="A29" s="2" t="s">
        <v>12</v>
      </c>
      <c r="B29" s="2">
        <v>80</v>
      </c>
      <c r="C29" s="2">
        <v>89</v>
      </c>
      <c r="D29" s="2">
        <v>92</v>
      </c>
      <c r="E29" s="2">
        <v>89</v>
      </c>
      <c r="F29" s="2">
        <v>92</v>
      </c>
    </row>
    <row r="30" spans="1:8" x14ac:dyDescent="0.35">
      <c r="A30" s="2" t="s">
        <v>13</v>
      </c>
      <c r="B30" s="2">
        <v>78</v>
      </c>
      <c r="C30" s="2">
        <v>85</v>
      </c>
      <c r="D30" s="2">
        <v>82</v>
      </c>
      <c r="E30" s="2">
        <v>90</v>
      </c>
      <c r="F30" s="2">
        <v>90</v>
      </c>
    </row>
    <row r="31" spans="1:8" x14ac:dyDescent="0.35">
      <c r="A31" s="2" t="s">
        <v>14</v>
      </c>
      <c r="B31" s="2">
        <v>90</v>
      </c>
      <c r="C31" s="2">
        <v>92</v>
      </c>
      <c r="D31" s="2">
        <v>95</v>
      </c>
      <c r="E31" s="2">
        <v>87</v>
      </c>
      <c r="F31" s="2">
        <v>95</v>
      </c>
    </row>
    <row r="32" spans="1:8" x14ac:dyDescent="0.35">
      <c r="A32" s="2" t="s">
        <v>15</v>
      </c>
      <c r="B32" s="2">
        <v>92</v>
      </c>
      <c r="C32" s="2">
        <v>95</v>
      </c>
      <c r="D32" s="2">
        <v>89</v>
      </c>
      <c r="E32" s="2">
        <v>68</v>
      </c>
      <c r="F32" s="2">
        <v>95</v>
      </c>
    </row>
    <row r="33" spans="1:9" x14ac:dyDescent="0.35">
      <c r="A33" s="2" t="s">
        <v>16</v>
      </c>
      <c r="B33" s="2">
        <v>58</v>
      </c>
      <c r="C33" s="2">
        <v>78</v>
      </c>
      <c r="D33" s="2">
        <v>69</v>
      </c>
      <c r="E33" s="2">
        <v>76</v>
      </c>
      <c r="F33" s="2">
        <v>78</v>
      </c>
    </row>
    <row r="36" spans="1:9" x14ac:dyDescent="0.35">
      <c r="A36" s="2" t="s">
        <v>27</v>
      </c>
      <c r="B36" t="s">
        <v>37</v>
      </c>
      <c r="C36" t="s">
        <v>38</v>
      </c>
    </row>
    <row r="37" spans="1:9" x14ac:dyDescent="0.35">
      <c r="A37" s="2" t="s">
        <v>25</v>
      </c>
      <c r="B37">
        <f>MATCH(D31,D28:D33,0)</f>
        <v>4</v>
      </c>
    </row>
    <row r="40" spans="1:9" x14ac:dyDescent="0.35">
      <c r="A40" s="5" t="s">
        <v>34</v>
      </c>
    </row>
    <row r="41" spans="1:9" x14ac:dyDescent="0.35">
      <c r="A41" s="1" t="s">
        <v>0</v>
      </c>
      <c r="B41" s="1" t="s">
        <v>1</v>
      </c>
      <c r="C41" s="1" t="s">
        <v>2</v>
      </c>
      <c r="D41" s="1" t="s">
        <v>3</v>
      </c>
      <c r="E41" s="1" t="s">
        <v>4</v>
      </c>
      <c r="F41" s="1" t="s">
        <v>22</v>
      </c>
      <c r="G41" s="1" t="s">
        <v>10</v>
      </c>
      <c r="H41" s="1" t="s">
        <v>28</v>
      </c>
      <c r="I41" s="1" t="s">
        <v>24</v>
      </c>
    </row>
    <row r="42" spans="1:9" x14ac:dyDescent="0.35">
      <c r="A42" s="2" t="s">
        <v>12</v>
      </c>
      <c r="B42" s="2">
        <v>80</v>
      </c>
      <c r="C42" s="2">
        <v>89</v>
      </c>
      <c r="D42" s="2">
        <v>92</v>
      </c>
      <c r="E42" s="2">
        <v>89</v>
      </c>
      <c r="F42" s="2">
        <v>89</v>
      </c>
      <c r="G42" s="2" t="s">
        <v>12</v>
      </c>
      <c r="H42" s="1" t="s">
        <v>2</v>
      </c>
      <c r="I42">
        <f>INDEX(B42:F46,MATCH(G42,A42:A46,0),MATCH(H42,B41:F41,0))</f>
        <v>89</v>
      </c>
    </row>
    <row r="43" spans="1:9" x14ac:dyDescent="0.35">
      <c r="A43" s="2" t="s">
        <v>13</v>
      </c>
      <c r="B43" s="2">
        <v>78</v>
      </c>
      <c r="C43" s="2">
        <v>85</v>
      </c>
      <c r="D43" s="2">
        <v>82</v>
      </c>
      <c r="E43" s="2">
        <v>90</v>
      </c>
      <c r="F43" s="2">
        <v>76</v>
      </c>
    </row>
    <row r="44" spans="1:9" x14ac:dyDescent="0.35">
      <c r="A44" s="2" t="s">
        <v>14</v>
      </c>
      <c r="B44" s="2">
        <v>90</v>
      </c>
      <c r="C44" s="2">
        <v>92</v>
      </c>
      <c r="D44" s="2">
        <v>95</v>
      </c>
      <c r="E44" s="2">
        <v>87</v>
      </c>
      <c r="F44" s="2">
        <v>90</v>
      </c>
    </row>
    <row r="45" spans="1:9" x14ac:dyDescent="0.35">
      <c r="A45" s="2" t="s">
        <v>15</v>
      </c>
      <c r="B45" s="2">
        <v>92</v>
      </c>
      <c r="C45" s="2">
        <v>95</v>
      </c>
      <c r="D45" s="2">
        <v>89</v>
      </c>
      <c r="E45" s="2">
        <v>68</v>
      </c>
      <c r="F45" s="2">
        <v>68</v>
      </c>
    </row>
    <row r="46" spans="1:9" x14ac:dyDescent="0.35">
      <c r="A46" s="2" t="s">
        <v>16</v>
      </c>
      <c r="B46" s="2">
        <v>58</v>
      </c>
      <c r="C46" s="2">
        <v>78</v>
      </c>
      <c r="D46" s="2">
        <v>69</v>
      </c>
      <c r="E46" s="2">
        <v>76</v>
      </c>
      <c r="F46" s="2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2026-02-15T12:03:56Z</dcterms:created>
  <dcterms:modified xsi:type="dcterms:W3CDTF">2026-02-16T06:51:53Z</dcterms:modified>
</cp:coreProperties>
</file>