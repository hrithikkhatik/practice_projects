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13_ncr:1_{A927819E-BBF1-485E-B8ED-DC606961EE2E}" xr6:coauthVersionLast="47" xr6:coauthVersionMax="47" xr10:uidLastSave="{00000000-0000-0000-0000-000000000000}"/>
  <bookViews>
    <workbookView xWindow="-110" yWindow="-110" windowWidth="21820" windowHeight="13900" activeTab="1" xr2:uid="{D812357C-A840-492F-8EFC-C16D169EB427}"/>
  </bookViews>
  <sheets>
    <sheet name="Sheet 1  Products" sheetId="1" r:id="rId1"/>
    <sheet name="Sheet 2 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 a="1"/>
  <c r="G3" i="2"/>
  <c r="G4" i="2" a="1"/>
  <c r="G4" i="2"/>
  <c r="G5" i="2" a="1"/>
  <c r="G5" i="2"/>
  <c r="G6" i="2" a="1"/>
  <c r="G6" i="2"/>
  <c r="G2" i="2" a="1"/>
  <c r="G2" i="2" s="1"/>
  <c r="F2" i="2"/>
  <c r="I3" i="2"/>
  <c r="I4" i="2"/>
  <c r="I5" i="2"/>
  <c r="I6" i="2"/>
  <c r="I2" i="2"/>
  <c r="D22" i="2"/>
  <c r="D21" i="2"/>
  <c r="B22" i="2"/>
  <c r="B21" i="2"/>
  <c r="H3" i="2"/>
  <c r="H4" i="2"/>
  <c r="H5" i="2"/>
  <c r="H6" i="2"/>
  <c r="H2" i="2"/>
  <c r="F3" i="2"/>
  <c r="F4" i="2"/>
  <c r="F5" i="2"/>
  <c r="F6" i="2"/>
  <c r="B14" i="2"/>
  <c r="B15" i="2"/>
  <c r="B16" i="2"/>
  <c r="B17" i="2"/>
  <c r="B13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<sst xmlns="http://schemas.openxmlformats.org/spreadsheetml/2006/main" count="67" uniqueCount="39">
  <si>
    <t>Product ID</t>
  </si>
  <si>
    <t>Product Name</t>
  </si>
  <si>
    <t>Category</t>
  </si>
  <si>
    <t>Price</t>
  </si>
  <si>
    <t>Stock</t>
  </si>
  <si>
    <t>P101</t>
  </si>
  <si>
    <t>Laptop</t>
  </si>
  <si>
    <t>Electronics</t>
  </si>
  <si>
    <t>P102</t>
  </si>
  <si>
    <t>Phone</t>
  </si>
  <si>
    <t>P103</t>
  </si>
  <si>
    <t>Tablet</t>
  </si>
  <si>
    <t>P104</t>
  </si>
  <si>
    <t>Chair</t>
  </si>
  <si>
    <t>Furniture</t>
  </si>
  <si>
    <t>P105</t>
  </si>
  <si>
    <t>Desk</t>
  </si>
  <si>
    <t>Sale ID</t>
  </si>
  <si>
    <t>Quantity</t>
  </si>
  <si>
    <t>Region</t>
  </si>
  <si>
    <t>S001</t>
  </si>
  <si>
    <t>East</t>
  </si>
  <si>
    <t>S002</t>
  </si>
  <si>
    <t>West</t>
  </si>
  <si>
    <t>S003</t>
  </si>
  <si>
    <t>North</t>
  </si>
  <si>
    <t>S004</t>
  </si>
  <si>
    <t>South</t>
  </si>
  <si>
    <t>S005</t>
  </si>
  <si>
    <t>total sales</t>
  </si>
  <si>
    <t>summary table</t>
  </si>
  <si>
    <t>region</t>
  </si>
  <si>
    <t>price(vlookup)</t>
  </si>
  <si>
    <t>price(hlookup)</t>
  </si>
  <si>
    <t>price(index)</t>
  </si>
  <si>
    <t>price position(match)</t>
  </si>
  <si>
    <t>sales total</t>
  </si>
  <si>
    <t>sales count</t>
  </si>
  <si>
    <t>price(xlookup)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</si>
</sst>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5BCF-5427-48DB-BC0A-115DB8775C50}">
  <dimension ref="A1:F18"/>
  <sheetViews>
    <sheetView workbookViewId="0">
      <selection activeCell="K11" sqref="K11"/>
    </sheetView>
  </sheetViews>
  <sheetFormatPr defaultRowHeight="14.5" x14ac:dyDescent="0.35"/>
  <cols>
    <col min="1" max="2" width="12.6328125" bestFit="1" customWidth="1"/>
    <col min="3" max="4" width="9.90625" bestFit="1" customWidth="1"/>
    <col min="5" max="6" width="8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2" t="s">
        <v>5</v>
      </c>
      <c r="B2" s="2" t="s">
        <v>6</v>
      </c>
      <c r="C2" s="2" t="s">
        <v>7</v>
      </c>
      <c r="D2" s="2">
        <v>800</v>
      </c>
      <c r="E2" s="2">
        <v>50</v>
      </c>
    </row>
    <row r="3" spans="1:6" x14ac:dyDescent="0.35">
      <c r="A3" s="2" t="s">
        <v>8</v>
      </c>
      <c r="B3" s="2" t="s">
        <v>9</v>
      </c>
      <c r="C3" s="2" t="s">
        <v>7</v>
      </c>
      <c r="D3" s="2">
        <v>500</v>
      </c>
      <c r="E3" s="2">
        <v>120</v>
      </c>
    </row>
    <row r="4" spans="1:6" x14ac:dyDescent="0.35">
      <c r="A4" s="2" t="s">
        <v>10</v>
      </c>
      <c r="B4" s="2" t="s">
        <v>11</v>
      </c>
      <c r="C4" s="2" t="s">
        <v>7</v>
      </c>
      <c r="D4" s="2">
        <v>300</v>
      </c>
      <c r="E4" s="2">
        <v>75</v>
      </c>
    </row>
    <row r="5" spans="1:6" x14ac:dyDescent="0.35">
      <c r="A5" s="2" t="s">
        <v>12</v>
      </c>
      <c r="B5" s="2" t="s">
        <v>13</v>
      </c>
      <c r="C5" s="2" t="s">
        <v>14</v>
      </c>
      <c r="D5" s="2">
        <v>150</v>
      </c>
      <c r="E5" s="2">
        <v>200</v>
      </c>
    </row>
    <row r="6" spans="1:6" x14ac:dyDescent="0.35">
      <c r="A6" s="2" t="s">
        <v>15</v>
      </c>
      <c r="B6" s="2" t="s">
        <v>16</v>
      </c>
      <c r="C6" s="2" t="s">
        <v>14</v>
      </c>
      <c r="D6" s="2">
        <v>250</v>
      </c>
      <c r="E6" s="2">
        <v>150</v>
      </c>
    </row>
    <row r="9" spans="1:6" x14ac:dyDescent="0.35">
      <c r="A9" s="1"/>
      <c r="B9" s="2"/>
      <c r="C9" s="2"/>
      <c r="D9" s="2"/>
      <c r="E9" s="2"/>
      <c r="F9" s="2"/>
    </row>
    <row r="10" spans="1:6" x14ac:dyDescent="0.35">
      <c r="A10" s="1"/>
      <c r="B10" s="2"/>
      <c r="C10" s="2"/>
      <c r="D10" s="2"/>
      <c r="E10" s="2"/>
      <c r="F10" s="2"/>
    </row>
    <row r="14" spans="1:6" x14ac:dyDescent="0.35">
      <c r="A14" s="2"/>
    </row>
    <row r="15" spans="1:6" x14ac:dyDescent="0.35">
      <c r="A15" s="2"/>
    </row>
    <row r="16" spans="1:6" x14ac:dyDescent="0.35">
      <c r="A16" s="2"/>
    </row>
    <row r="17" spans="1:1" x14ac:dyDescent="0.35">
      <c r="A17" s="2"/>
    </row>
    <row r="18" spans="1:1" x14ac:dyDescent="0.35">
      <c r="A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0A09-BE28-4E32-BD80-EDA3C0C99D23}">
  <dimension ref="A1:I22"/>
  <sheetViews>
    <sheetView tabSelected="1" workbookViewId="0">
      <selection activeCell="G2" sqref="G2"/>
    </sheetView>
  </sheetViews>
  <sheetFormatPr defaultRowHeight="14.5" x14ac:dyDescent="0.35"/>
  <cols>
    <col min="1" max="1" width="26.36328125" bestFit="1" customWidth="1"/>
    <col min="2" max="2" width="12.54296875" bestFit="1" customWidth="1"/>
    <col min="3" max="3" width="8" bestFit="1" customWidth="1"/>
    <col min="4" max="4" width="10.36328125" bestFit="1" customWidth="1"/>
    <col min="5" max="5" width="13.08984375" bestFit="1" customWidth="1"/>
    <col min="6" max="6" width="19.08984375" bestFit="1" customWidth="1"/>
    <col min="7" max="7" width="17.08984375" bestFit="1" customWidth="1"/>
    <col min="8" max="8" width="9.36328125" bestFit="1" customWidth="1"/>
    <col min="9" max="9" width="14.7265625" bestFit="1" customWidth="1"/>
  </cols>
  <sheetData>
    <row r="1" spans="1:9" x14ac:dyDescent="0.35">
      <c r="A1" s="1" t="s">
        <v>17</v>
      </c>
      <c r="B1" s="1" t="s">
        <v>0</v>
      </c>
      <c r="C1" s="1" t="s">
        <v>18</v>
      </c>
      <c r="D1" s="1" t="s">
        <v>19</v>
      </c>
      <c r="E1" s="1" t="s">
        <v>32</v>
      </c>
      <c r="F1" s="3" t="s">
        <v>35</v>
      </c>
      <c r="G1" s="3" t="s">
        <v>34</v>
      </c>
      <c r="H1" s="1" t="s">
        <v>29</v>
      </c>
      <c r="I1" s="3" t="s">
        <v>38</v>
      </c>
    </row>
    <row r="2" spans="1:9" x14ac:dyDescent="0.35">
      <c r="A2" s="2" t="s">
        <v>20</v>
      </c>
      <c r="B2" s="2" t="s">
        <v>5</v>
      </c>
      <c r="C2" s="2">
        <v>2</v>
      </c>
      <c r="D2" s="2" t="s">
        <v>21</v>
      </c>
      <c r="E2">
        <f>VLOOKUP('Sheet 2  Sales'!B2,'Sheet 1  Products'!$A$2:$E$6,4,FALSE)</f>
        <v>800</v>
      </c>
      <c r="F2">
        <f>MATCH(B2,'Sheet 1  Products'!$A$2:$A$6,0)</f>
        <v>1</v>
      </c>
      <c r="G2" cm="1">
        <f t="array" ref="G2">INDEX('Sheet 1  Products'!$A$2:$E$6,'Sheet 2  Sales'!F2,4)</f>
        <v>800</v>
      </c>
      <c r="H2">
        <f>C2*E2</f>
        <v>1600</v>
      </c>
      <c r="I2">
        <f>_xlfn.XLOOKUP(B2,'Sheet 1  Products'!$A$2:$A$6,'Sheet 1  Products'!$D$2:$D$6)</f>
        <v>800</v>
      </c>
    </row>
    <row r="3" spans="1:9" x14ac:dyDescent="0.35">
      <c r="A3" s="2" t="s">
        <v>22</v>
      </c>
      <c r="B3" s="2" t="s">
        <v>8</v>
      </c>
      <c r="C3" s="2">
        <v>5</v>
      </c>
      <c r="D3" s="2" t="s">
        <v>23</v>
      </c>
      <c r="E3">
        <f>VLOOKUP('Sheet 2  Sales'!B3,'Sheet 1  Products'!$A$2:$E$6,4,FALSE)</f>
        <v>500</v>
      </c>
      <c r="F3">
        <f>MATCH(B3,'Sheet 1  Products'!$A$2:$A$6,0)</f>
        <v>2</v>
      </c>
      <c r="G3" cm="1">
        <f t="array" ref="G3">INDEX('Sheet 1  Products'!$A$2:$E$6,'Sheet 2  Sales'!F3,4)</f>
        <v>500</v>
      </c>
      <c r="H3">
        <f t="shared" ref="H3:H6" si="0">C3*E3</f>
        <v>2500</v>
      </c>
      <c r="I3">
        <f>_xlfn.XLOOKUP(B3,'Sheet 1  Products'!$A$2:$A$6,'Sheet 1  Products'!$D$2:$D$6)</f>
        <v>500</v>
      </c>
    </row>
    <row r="4" spans="1:9" x14ac:dyDescent="0.35">
      <c r="A4" s="2" t="s">
        <v>24</v>
      </c>
      <c r="B4" s="2" t="s">
        <v>12</v>
      </c>
      <c r="C4" s="2">
        <v>10</v>
      </c>
      <c r="D4" s="2" t="s">
        <v>25</v>
      </c>
      <c r="E4">
        <f>VLOOKUP('Sheet 2  Sales'!B4,'Sheet 1  Products'!$A$2:$E$6,4,FALSE)</f>
        <v>150</v>
      </c>
      <c r="F4">
        <f>MATCH(B4,'Sheet 1  Products'!$A$2:$A$6,0)</f>
        <v>4</v>
      </c>
      <c r="G4" cm="1">
        <f t="array" ref="G4">INDEX('Sheet 1  Products'!$A$2:$E$6,'Sheet 2  Sales'!F4,4)</f>
        <v>150</v>
      </c>
      <c r="H4">
        <f t="shared" si="0"/>
        <v>1500</v>
      </c>
      <c r="I4">
        <f>_xlfn.XLOOKUP(B4,'Sheet 1  Products'!$A$2:$A$6,'Sheet 1  Products'!$D$2:$D$6)</f>
        <v>150</v>
      </c>
    </row>
    <row r="5" spans="1:9" x14ac:dyDescent="0.35">
      <c r="A5" s="2" t="s">
        <v>26</v>
      </c>
      <c r="B5" s="2" t="s">
        <v>5</v>
      </c>
      <c r="C5" s="2">
        <v>1</v>
      </c>
      <c r="D5" s="2" t="s">
        <v>27</v>
      </c>
      <c r="E5">
        <f>VLOOKUP('Sheet 2  Sales'!B5,'Sheet 1  Products'!$A$2:$E$6,4,FALSE)</f>
        <v>800</v>
      </c>
      <c r="F5">
        <f>MATCH(B5,'Sheet 1  Products'!$A$2:$A$6,0)</f>
        <v>1</v>
      </c>
      <c r="G5" cm="1">
        <f t="array" ref="G5">INDEX('Sheet 1  Products'!$A$2:$E$6,'Sheet 2  Sales'!F5,4)</f>
        <v>800</v>
      </c>
      <c r="H5">
        <f t="shared" si="0"/>
        <v>800</v>
      </c>
      <c r="I5">
        <f>_xlfn.XLOOKUP(B5,'Sheet 1  Products'!$A$2:$A$6,'Sheet 1  Products'!$D$2:$D$6)</f>
        <v>800</v>
      </c>
    </row>
    <row r="6" spans="1:9" x14ac:dyDescent="0.35">
      <c r="A6" s="2" t="s">
        <v>28</v>
      </c>
      <c r="B6" s="2" t="s">
        <v>15</v>
      </c>
      <c r="C6" s="2">
        <v>3</v>
      </c>
      <c r="D6" s="2" t="s">
        <v>21</v>
      </c>
      <c r="E6">
        <f>VLOOKUP('Sheet 2  Sales'!B6,'Sheet 1  Products'!$A$2:$E$6,4,FALSE)</f>
        <v>250</v>
      </c>
      <c r="F6">
        <f>MATCH(B6,'Sheet 1  Products'!$A$2:$A$6,0)</f>
        <v>5</v>
      </c>
      <c r="G6" cm="1">
        <f t="array" ref="G6">INDEX('Sheet 1  Products'!$A$2:$E$6,'Sheet 2  Sales'!F6,4)</f>
        <v>250</v>
      </c>
      <c r="H6">
        <f t="shared" si="0"/>
        <v>750</v>
      </c>
      <c r="I6">
        <f>_xlfn.XLOOKUP(B6,'Sheet 1  Products'!$A$2:$A$6,'Sheet 1  Products'!$D$2:$D$6)</f>
        <v>250</v>
      </c>
    </row>
    <row r="9" spans="1:9" ht="13.5" customHeight="1" x14ac:dyDescent="0.35">
      <c r="A9" s="1" t="s">
        <v>0</v>
      </c>
      <c r="B9" s="2" t="s">
        <v>5</v>
      </c>
      <c r="C9" s="2" t="s">
        <v>8</v>
      </c>
      <c r="D9" s="2" t="s">
        <v>12</v>
      </c>
      <c r="E9" s="2" t="s">
        <v>5</v>
      </c>
      <c r="F9" s="2" t="s">
        <v>15</v>
      </c>
    </row>
    <row r="10" spans="1:9" x14ac:dyDescent="0.35">
      <c r="A10" s="1" t="s">
        <v>3</v>
      </c>
      <c r="B10" s="2">
        <v>800</v>
      </c>
      <c r="C10" s="2">
        <v>500</v>
      </c>
      <c r="D10" s="2">
        <v>300</v>
      </c>
      <c r="E10" s="2">
        <v>150</v>
      </c>
      <c r="F10" s="2">
        <v>250</v>
      </c>
    </row>
    <row r="11" spans="1:9" x14ac:dyDescent="0.35">
      <c r="A11" s="2"/>
      <c r="C11" s="2"/>
    </row>
    <row r="12" spans="1:9" x14ac:dyDescent="0.35">
      <c r="A12" s="1" t="s">
        <v>0</v>
      </c>
      <c r="B12" s="3" t="s">
        <v>33</v>
      </c>
      <c r="C12" s="2"/>
    </row>
    <row r="13" spans="1:9" x14ac:dyDescent="0.35">
      <c r="A13" s="2" t="s">
        <v>5</v>
      </c>
      <c r="B13">
        <f>HLOOKUP(A13,$B$9:$F$10,2,FALSE)</f>
        <v>800</v>
      </c>
    </row>
    <row r="14" spans="1:9" x14ac:dyDescent="0.35">
      <c r="A14" s="2" t="s">
        <v>8</v>
      </c>
      <c r="B14">
        <f t="shared" ref="B14:B17" si="1">HLOOKUP(A14,$B$9:$F$10,2,FALSE)</f>
        <v>500</v>
      </c>
    </row>
    <row r="15" spans="1:9" x14ac:dyDescent="0.35">
      <c r="A15" s="2" t="s">
        <v>12</v>
      </c>
      <c r="B15">
        <f t="shared" si="1"/>
        <v>300</v>
      </c>
    </row>
    <row r="16" spans="1:9" x14ac:dyDescent="0.35">
      <c r="A16" s="2" t="s">
        <v>5</v>
      </c>
      <c r="B16">
        <f t="shared" si="1"/>
        <v>800</v>
      </c>
    </row>
    <row r="17" spans="1:4" x14ac:dyDescent="0.35">
      <c r="A17" s="2" t="s">
        <v>15</v>
      </c>
      <c r="B17">
        <f t="shared" si="1"/>
        <v>250</v>
      </c>
    </row>
    <row r="19" spans="1:4" ht="28.5" x14ac:dyDescent="0.35">
      <c r="A19" s="4" t="s">
        <v>30</v>
      </c>
    </row>
    <row r="20" spans="1:4" x14ac:dyDescent="0.35">
      <c r="A20" s="1" t="s">
        <v>0</v>
      </c>
      <c r="B20" s="3" t="s">
        <v>36</v>
      </c>
      <c r="C20" s="3" t="s">
        <v>31</v>
      </c>
      <c r="D20" s="3" t="s">
        <v>37</v>
      </c>
    </row>
    <row r="21" spans="1:4" x14ac:dyDescent="0.35">
      <c r="A21" s="2" t="s">
        <v>5</v>
      </c>
      <c r="B21">
        <f>SUMIF($A$13:A17,A21,$B$13:$B$18)</f>
        <v>1600</v>
      </c>
      <c r="C21" s="2" t="s">
        <v>21</v>
      </c>
      <c r="D21">
        <f>COUNTIF($A$13:$A$17,A21)</f>
        <v>2</v>
      </c>
    </row>
    <row r="22" spans="1:4" x14ac:dyDescent="0.35">
      <c r="A22" s="2" t="s">
        <v>8</v>
      </c>
      <c r="B22">
        <f>SUMIF($A$13:A18,A22,$B$13:$B$18)</f>
        <v>500</v>
      </c>
      <c r="C22" s="2" t="s">
        <v>23</v>
      </c>
      <c r="D22">
        <f>COUNTIF($A$13:$A$17,A22)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 Products</vt:lpstr>
      <vt:lpstr>Sheet 2 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2026-02-22T03:18:01Z</dcterms:created>
  <dcterms:modified xsi:type="dcterms:W3CDTF">2026-02-22T05:03:36Z</dcterms:modified>
</cp:coreProperties>
</file>