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587BED07-EC7F-4682-9068-D1BA9076F5A1}" xr6:coauthVersionLast="47" xr6:coauthVersionMax="47" xr10:uidLastSave="{00000000-0000-0000-0000-000000000000}"/>
  <bookViews>
    <workbookView xWindow="-110" yWindow="-110" windowWidth="21820" windowHeight="13900" firstSheet="4" activeTab="7" xr2:uid="{2C5BF381-8AAA-46DF-AF78-BF25EBB55695}"/>
  </bookViews>
  <sheets>
    <sheet name="pivot table" sheetId="2" r:id="rId1"/>
    <sheet name="Salesman Performance" sheetId="3" r:id="rId2"/>
    <sheet name="Monthly Sales Trend" sheetId="4" r:id="rId3"/>
    <sheet name="Category Sales Share" sheetId="5" r:id="rId4"/>
    <sheet name="Profit Flow" sheetId="6" r:id="rId5"/>
    <sheet name="Product Sales Trend" sheetId="7" r:id="rId6"/>
    <sheet name="Dashboard" sheetId="8" r:id="rId7"/>
    <sheet name="Key Insights" sheetId="12" r:id="rId8"/>
    <sheet name="data" sheetId="1" r:id="rId9"/>
  </sheets>
  <definedNames>
    <definedName name="_xlchart.v1.0" hidden="1">'Profit Flow'!$A$4:$A$16</definedName>
    <definedName name="_xlchart.v1.1" hidden="1">'Profit Flow'!$B$3</definedName>
    <definedName name="_xlchart.v1.2" hidden="1">'Profit Flow'!$B$4:$B$16</definedName>
    <definedName name="_xlchart.v1.3" hidden="1">'Profit Flow'!$A$4:$A$16</definedName>
    <definedName name="_xlchart.v1.4" hidden="1">'Profit Flow'!$B$3</definedName>
    <definedName name="_xlchart.v1.5" hidden="1">'Profit Flow'!$B$4:$B$16</definedName>
    <definedName name="Slicer_Category">#N/A</definedName>
    <definedName name="Slicer_Order_Date">#N/A</definedName>
    <definedName name="Slicer_Region">#N/A</definedName>
  </definedNames>
  <calcPr calcId="191029"/>
  <pivotCaches>
    <pivotCache cacheId="40" r:id="rId10"/>
    <pivotCache cacheId="53" r:id="rId11"/>
    <pivotCache cacheId="5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8" l="1"/>
  <c r="B2" i="8"/>
  <c r="B1" i="8"/>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2" i="1"/>
  <c r="L62" i="1"/>
  <c r="L26" i="1"/>
  <c r="L65" i="1"/>
  <c r="L7" i="1"/>
  <c r="L47" i="1"/>
  <c r="L77" i="1"/>
  <c r="L5" i="1"/>
  <c r="L97" i="1"/>
  <c r="L15" i="1"/>
  <c r="L34" i="1"/>
  <c r="L42" i="1"/>
  <c r="L25" i="1"/>
  <c r="L3" i="1"/>
  <c r="L57" i="1"/>
  <c r="L79" i="1"/>
  <c r="L18" i="1"/>
  <c r="L36" i="1"/>
  <c r="L2" i="1"/>
  <c r="L61" i="1"/>
  <c r="L52" i="1"/>
  <c r="L39" i="1"/>
  <c r="L29" i="1"/>
  <c r="L70" i="1"/>
  <c r="L54" i="1"/>
  <c r="L88" i="1"/>
  <c r="L8" i="1"/>
  <c r="L23" i="1"/>
  <c r="L33" i="1"/>
  <c r="L38" i="1"/>
  <c r="L40" i="1"/>
  <c r="L35" i="1"/>
  <c r="L66" i="1"/>
  <c r="L100" i="1"/>
  <c r="L48" i="1"/>
  <c r="L20" i="1"/>
  <c r="L16" i="1"/>
  <c r="L10" i="1"/>
  <c r="L43" i="1"/>
  <c r="L31" i="1"/>
  <c r="L94" i="1"/>
  <c r="L98" i="1"/>
  <c r="L21" i="1"/>
  <c r="L75" i="1"/>
  <c r="L49" i="1"/>
  <c r="L13" i="1"/>
  <c r="L58" i="1"/>
  <c r="L41" i="1"/>
  <c r="L28" i="1"/>
  <c r="L78" i="1"/>
  <c r="L73" i="1"/>
  <c r="L59" i="1"/>
  <c r="L9" i="1"/>
  <c r="L11" i="1"/>
  <c r="L63" i="1"/>
  <c r="L74" i="1"/>
  <c r="L86" i="1"/>
  <c r="L56" i="1"/>
  <c r="L37" i="1"/>
  <c r="L91" i="1"/>
  <c r="L84" i="1"/>
  <c r="L93" i="1"/>
  <c r="L67" i="1"/>
  <c r="L68" i="1"/>
  <c r="L83" i="1"/>
  <c r="L12" i="1"/>
  <c r="L32" i="1"/>
  <c r="L4" i="1"/>
  <c r="L24" i="1"/>
  <c r="L85" i="1"/>
  <c r="L27" i="1"/>
  <c r="L19" i="1"/>
  <c r="L69" i="1"/>
  <c r="L90" i="1"/>
  <c r="L72" i="1"/>
  <c r="L80" i="1"/>
  <c r="L71" i="1"/>
  <c r="L55" i="1"/>
  <c r="L60" i="1"/>
  <c r="L82" i="1"/>
  <c r="L81" i="1"/>
  <c r="L6" i="1"/>
  <c r="L45" i="1"/>
  <c r="L87" i="1"/>
  <c r="L30" i="1"/>
  <c r="L89" i="1"/>
  <c r="L95" i="1"/>
  <c r="L51" i="1"/>
  <c r="L92" i="1"/>
  <c r="L17" i="1"/>
  <c r="L14" i="1"/>
  <c r="L44" i="1"/>
  <c r="L96" i="1"/>
  <c r="L99" i="1"/>
  <c r="L53" i="1"/>
  <c r="L64" i="1"/>
  <c r="L50" i="1"/>
  <c r="L46" i="1"/>
  <c r="L76" i="1"/>
  <c r="L22" i="1"/>
  <c r="K62" i="1"/>
  <c r="K7" i="1"/>
  <c r="K47" i="1"/>
  <c r="K77" i="1"/>
  <c r="K5" i="1"/>
  <c r="K25" i="1"/>
  <c r="K3" i="1"/>
  <c r="K57" i="1"/>
  <c r="K79" i="1"/>
  <c r="K52" i="1"/>
  <c r="K39" i="1"/>
  <c r="K29" i="1"/>
  <c r="K70" i="1"/>
  <c r="K33" i="1"/>
  <c r="K38" i="1"/>
  <c r="K40" i="1"/>
  <c r="K35" i="1"/>
  <c r="K16" i="1"/>
  <c r="K10" i="1"/>
  <c r="K43" i="1"/>
  <c r="K31" i="1"/>
  <c r="K49" i="1"/>
  <c r="K13" i="1"/>
  <c r="K58" i="1"/>
  <c r="K41" i="1"/>
  <c r="K9" i="1"/>
  <c r="K11" i="1"/>
  <c r="K63" i="1"/>
  <c r="K74" i="1"/>
  <c r="K84" i="1"/>
  <c r="K93" i="1"/>
  <c r="K67" i="1"/>
  <c r="K68" i="1"/>
  <c r="K24" i="1"/>
  <c r="K85" i="1"/>
  <c r="K27" i="1"/>
  <c r="K19" i="1"/>
  <c r="K71" i="1"/>
  <c r="K55" i="1"/>
  <c r="K60" i="1"/>
  <c r="K82" i="1"/>
  <c r="K30" i="1"/>
  <c r="K89" i="1"/>
  <c r="K95" i="1"/>
  <c r="K51" i="1"/>
  <c r="K96" i="1"/>
  <c r="K99" i="1"/>
  <c r="K53" i="1"/>
  <c r="K64" i="1"/>
  <c r="I62" i="1"/>
  <c r="I26" i="1"/>
  <c r="K26" i="1" s="1"/>
  <c r="I65" i="1"/>
  <c r="K65" i="1" s="1"/>
  <c r="I7" i="1"/>
  <c r="I47" i="1"/>
  <c r="I77" i="1"/>
  <c r="I5" i="1"/>
  <c r="I97" i="1"/>
  <c r="K97" i="1" s="1"/>
  <c r="I15" i="1"/>
  <c r="K15" i="1" s="1"/>
  <c r="I34" i="1"/>
  <c r="K34" i="1" s="1"/>
  <c r="I42" i="1"/>
  <c r="K42" i="1" s="1"/>
  <c r="I25" i="1"/>
  <c r="I3" i="1"/>
  <c r="I57" i="1"/>
  <c r="I79" i="1"/>
  <c r="I18" i="1"/>
  <c r="K18" i="1" s="1"/>
  <c r="I36" i="1"/>
  <c r="K36" i="1" s="1"/>
  <c r="I2" i="1"/>
  <c r="I103" i="1" s="1"/>
  <c r="I61" i="1"/>
  <c r="K61" i="1" s="1"/>
  <c r="I52" i="1"/>
  <c r="I39" i="1"/>
  <c r="I29" i="1"/>
  <c r="I70" i="1"/>
  <c r="I54" i="1"/>
  <c r="K54" i="1" s="1"/>
  <c r="I88" i="1"/>
  <c r="K88" i="1" s="1"/>
  <c r="I8" i="1"/>
  <c r="K8" i="1" s="1"/>
  <c r="I23" i="1"/>
  <c r="K23" i="1" s="1"/>
  <c r="I33" i="1"/>
  <c r="I38" i="1"/>
  <c r="I40" i="1"/>
  <c r="I35" i="1"/>
  <c r="I66" i="1"/>
  <c r="K66" i="1" s="1"/>
  <c r="I100" i="1"/>
  <c r="K100" i="1" s="1"/>
  <c r="I48" i="1"/>
  <c r="K48" i="1" s="1"/>
  <c r="I20" i="1"/>
  <c r="K20" i="1" s="1"/>
  <c r="I16" i="1"/>
  <c r="I10" i="1"/>
  <c r="I43" i="1"/>
  <c r="I31" i="1"/>
  <c r="I94" i="1"/>
  <c r="K94" i="1" s="1"/>
  <c r="I98" i="1"/>
  <c r="K98" i="1" s="1"/>
  <c r="I21" i="1"/>
  <c r="K21" i="1" s="1"/>
  <c r="I75" i="1"/>
  <c r="K75" i="1" s="1"/>
  <c r="I49" i="1"/>
  <c r="I13" i="1"/>
  <c r="I58" i="1"/>
  <c r="I41" i="1"/>
  <c r="I28" i="1"/>
  <c r="K28" i="1" s="1"/>
  <c r="I78" i="1"/>
  <c r="K78" i="1" s="1"/>
  <c r="I73" i="1"/>
  <c r="K73" i="1" s="1"/>
  <c r="I59" i="1"/>
  <c r="K59" i="1" s="1"/>
  <c r="I9" i="1"/>
  <c r="I11" i="1"/>
  <c r="I63" i="1"/>
  <c r="I74" i="1"/>
  <c r="I86" i="1"/>
  <c r="K86" i="1" s="1"/>
  <c r="I56" i="1"/>
  <c r="K56" i="1" s="1"/>
  <c r="I37" i="1"/>
  <c r="K37" i="1" s="1"/>
  <c r="I91" i="1"/>
  <c r="K91" i="1" s="1"/>
  <c r="I84" i="1"/>
  <c r="I93" i="1"/>
  <c r="I67" i="1"/>
  <c r="I68" i="1"/>
  <c r="I83" i="1"/>
  <c r="K83" i="1" s="1"/>
  <c r="I12" i="1"/>
  <c r="K12" i="1" s="1"/>
  <c r="I32" i="1"/>
  <c r="K32" i="1" s="1"/>
  <c r="I4" i="1"/>
  <c r="K4" i="1" s="1"/>
  <c r="I24" i="1"/>
  <c r="I85" i="1"/>
  <c r="I27" i="1"/>
  <c r="I19" i="1"/>
  <c r="I69" i="1"/>
  <c r="K69" i="1" s="1"/>
  <c r="I90" i="1"/>
  <c r="K90" i="1" s="1"/>
  <c r="I72" i="1"/>
  <c r="K72" i="1" s="1"/>
  <c r="I80" i="1"/>
  <c r="K80" i="1" s="1"/>
  <c r="I71" i="1"/>
  <c r="I55" i="1"/>
  <c r="I60" i="1"/>
  <c r="I82" i="1"/>
  <c r="I81" i="1"/>
  <c r="K81" i="1" s="1"/>
  <c r="I6" i="1"/>
  <c r="K6" i="1" s="1"/>
  <c r="I45" i="1"/>
  <c r="K45" i="1" s="1"/>
  <c r="I87" i="1"/>
  <c r="K87" i="1" s="1"/>
  <c r="I30" i="1"/>
  <c r="I89" i="1"/>
  <c r="I95" i="1"/>
  <c r="I51" i="1"/>
  <c r="I92" i="1"/>
  <c r="K92" i="1" s="1"/>
  <c r="I17" i="1"/>
  <c r="K17" i="1" s="1"/>
  <c r="I14" i="1"/>
  <c r="K14" i="1" s="1"/>
  <c r="I44" i="1"/>
  <c r="K44" i="1" s="1"/>
  <c r="I96" i="1"/>
  <c r="I99" i="1"/>
  <c r="I53" i="1"/>
  <c r="I64" i="1"/>
  <c r="I50" i="1"/>
  <c r="K50" i="1" s="1"/>
  <c r="I46" i="1"/>
  <c r="K46" i="1" s="1"/>
  <c r="I76" i="1"/>
  <c r="K76" i="1" s="1"/>
  <c r="I22" i="1"/>
  <c r="K22" i="1" s="1"/>
  <c r="K2" i="1" l="1"/>
</calcChain>
</file>

<file path=xl/sharedStrings.xml><?xml version="1.0" encoding="utf-8"?>
<sst xmlns="http://schemas.openxmlformats.org/spreadsheetml/2006/main" count="690" uniqueCount="250">
  <si>
    <t>Order_ID</t>
  </si>
  <si>
    <t>Customer_ID</t>
  </si>
  <si>
    <t>Product</t>
  </si>
  <si>
    <t>Category</t>
  </si>
  <si>
    <t>Region</t>
  </si>
  <si>
    <t>Salesman</t>
  </si>
  <si>
    <t>Quantity</t>
  </si>
  <si>
    <t>Unit_Price</t>
  </si>
  <si>
    <t>Total_Sales</t>
  </si>
  <si>
    <t>Order_Date</t>
  </si>
  <si>
    <t>ORD8879</t>
  </si>
  <si>
    <t>ORD7970</t>
  </si>
  <si>
    <t>ORD7262</t>
  </si>
  <si>
    <t>ORD8788</t>
  </si>
  <si>
    <t>ORD4494</t>
  </si>
  <si>
    <t>ORD8385</t>
  </si>
  <si>
    <t>ORD2769</t>
  </si>
  <si>
    <t>ORD4183</t>
  </si>
  <si>
    <t>ORD3486</t>
  </si>
  <si>
    <t>ORD8847</t>
  </si>
  <si>
    <t>ORD1142</t>
  </si>
  <si>
    <t>ORD5302</t>
  </si>
  <si>
    <t>ORD5542</t>
  </si>
  <si>
    <t>ORD3206</t>
  </si>
  <si>
    <t>ORD3640</t>
  </si>
  <si>
    <t>ORD4558</t>
  </si>
  <si>
    <t>ORD2493</t>
  </si>
  <si>
    <t>ORD7650</t>
  </si>
  <si>
    <t>ORD9897</t>
  </si>
  <si>
    <t>ORD8660</t>
  </si>
  <si>
    <t>ORD6183</t>
  </si>
  <si>
    <t>ORD7014</t>
  </si>
  <si>
    <t>ORD2168</t>
  </si>
  <si>
    <t>ORD9037</t>
  </si>
  <si>
    <t>ORD6951</t>
  </si>
  <si>
    <t>ORD9419</t>
  </si>
  <si>
    <t>ORD9292</t>
  </si>
  <si>
    <t>ORD6904</t>
  </si>
  <si>
    <t>ORD9130</t>
  </si>
  <si>
    <t>ORD6179</t>
  </si>
  <si>
    <t>ORD7430</t>
  </si>
  <si>
    <t>ORD2927</t>
  </si>
  <si>
    <t>ORD4317</t>
  </si>
  <si>
    <t>ORD2867</t>
  </si>
  <si>
    <t>ORD7350</t>
  </si>
  <si>
    <t>ORD1226</t>
  </si>
  <si>
    <t>ORD8503</t>
  </si>
  <si>
    <t>ORD4918</t>
  </si>
  <si>
    <t>ORD4314</t>
  </si>
  <si>
    <t>ORD8361</t>
  </si>
  <si>
    <t>ORD7079</t>
  </si>
  <si>
    <t>ORD7078</t>
  </si>
  <si>
    <t>ORD6590</t>
  </si>
  <si>
    <t>ORD4410</t>
  </si>
  <si>
    <t>ORD3765</t>
  </si>
  <si>
    <t>ORD5065</t>
  </si>
  <si>
    <t>ORD9612</t>
  </si>
  <si>
    <t>ORD1306</t>
  </si>
  <si>
    <t>ORD9885</t>
  </si>
  <si>
    <t>ORD8072</t>
  </si>
  <si>
    <t>ORD3940</t>
  </si>
  <si>
    <t>ORD8144</t>
  </si>
  <si>
    <t>ORD5623</t>
  </si>
  <si>
    <t>ORD7872</t>
  </si>
  <si>
    <t>ORD4227</t>
  </si>
  <si>
    <t>ORD9580</t>
  </si>
  <si>
    <t>ORD1394</t>
  </si>
  <si>
    <t>ORD9454</t>
  </si>
  <si>
    <t>ORD2352</t>
  </si>
  <si>
    <t>ORD7723</t>
  </si>
  <si>
    <t>ORD1812</t>
  </si>
  <si>
    <t>ORD3032</t>
  </si>
  <si>
    <t>ORD6707</t>
  </si>
  <si>
    <t>ORD5838</t>
  </si>
  <si>
    <t>ORD3129</t>
  </si>
  <si>
    <t>ORD3343</t>
  </si>
  <si>
    <t>ORD1212</t>
  </si>
  <si>
    <t>ORD9305</t>
  </si>
  <si>
    <t>ORD1337</t>
  </si>
  <si>
    <t>ORD1177</t>
  </si>
  <si>
    <t>ORD2861</t>
  </si>
  <si>
    <t>ORD3908</t>
  </si>
  <si>
    <t>ORD7330</t>
  </si>
  <si>
    <t>ORD5443</t>
  </si>
  <si>
    <t>ORD4237</t>
  </si>
  <si>
    <t>ORD8992</t>
  </si>
  <si>
    <t>ORD5154</t>
  </si>
  <si>
    <t>ORD6283</t>
  </si>
  <si>
    <t>ORD1587</t>
  </si>
  <si>
    <t>ORD2452</t>
  </si>
  <si>
    <t>ORD4014</t>
  </si>
  <si>
    <t>ORD8619</t>
  </si>
  <si>
    <t>ORD2304</t>
  </si>
  <si>
    <t>ORD4076</t>
  </si>
  <si>
    <t>ORD7646</t>
  </si>
  <si>
    <t>ORD6347</t>
  </si>
  <si>
    <t>ORD7841</t>
  </si>
  <si>
    <t>ORD4802</t>
  </si>
  <si>
    <t>ORD7957</t>
  </si>
  <si>
    <t>ORD4719</t>
  </si>
  <si>
    <t>ORD1840</t>
  </si>
  <si>
    <t>ORD2652</t>
  </si>
  <si>
    <t>ORD6141</t>
  </si>
  <si>
    <t>ORD7397</t>
  </si>
  <si>
    <t>ORD3341</t>
  </si>
  <si>
    <t>ORD7775</t>
  </si>
  <si>
    <t>ORD6388</t>
  </si>
  <si>
    <t>ORD5051</t>
  </si>
  <si>
    <t>ORD6856</t>
  </si>
  <si>
    <t>CUST889</t>
  </si>
  <si>
    <t>CUST785</t>
  </si>
  <si>
    <t>CUST471</t>
  </si>
  <si>
    <t>CUST251</t>
  </si>
  <si>
    <t>CUST599</t>
  </si>
  <si>
    <t>CUST477</t>
  </si>
  <si>
    <t>CUST442</t>
  </si>
  <si>
    <t>CUST990</t>
  </si>
  <si>
    <t>CUST562</t>
  </si>
  <si>
    <t>CUST854</t>
  </si>
  <si>
    <t>CUST968</t>
  </si>
  <si>
    <t>CUST316</t>
  </si>
  <si>
    <t>CUST806</t>
  </si>
  <si>
    <t>CUST133</t>
  </si>
  <si>
    <t>CUST165</t>
  </si>
  <si>
    <t>CUST884</t>
  </si>
  <si>
    <t>CUST899</t>
  </si>
  <si>
    <t>CUST738</t>
  </si>
  <si>
    <t>CUST749</t>
  </si>
  <si>
    <t>CUST645</t>
  </si>
  <si>
    <t>CUST321</t>
  </si>
  <si>
    <t>CUST340</t>
  </si>
  <si>
    <t>CUST887</t>
  </si>
  <si>
    <t>CUST911</t>
  </si>
  <si>
    <t>CUST447</t>
  </si>
  <si>
    <t>CUST808</t>
  </si>
  <si>
    <t>CUST226</t>
  </si>
  <si>
    <t>CUST143</t>
  </si>
  <si>
    <t>CUST940</t>
  </si>
  <si>
    <t>CUST514</t>
  </si>
  <si>
    <t>CUST304</t>
  </si>
  <si>
    <t>CUST498</t>
  </si>
  <si>
    <t>CUST786</t>
  </si>
  <si>
    <t>CUST446</t>
  </si>
  <si>
    <t>CUST272</t>
  </si>
  <si>
    <t>CUST672</t>
  </si>
  <si>
    <t>CUST231</t>
  </si>
  <si>
    <t>CUST229</t>
  </si>
  <si>
    <t>CUST254</t>
  </si>
  <si>
    <t>CUST285</t>
  </si>
  <si>
    <t>CUST100</t>
  </si>
  <si>
    <t>CUST566</t>
  </si>
  <si>
    <t>CUST132</t>
  </si>
  <si>
    <t>CUST622</t>
  </si>
  <si>
    <t>CUST332</t>
  </si>
  <si>
    <t>CUST973</t>
  </si>
  <si>
    <t>CUST635</t>
  </si>
  <si>
    <t>CUST418</t>
  </si>
  <si>
    <t>CUST212</t>
  </si>
  <si>
    <t>CUST472</t>
  </si>
  <si>
    <t>CUST736</t>
  </si>
  <si>
    <t>CUST962</t>
  </si>
  <si>
    <t>CUST331</t>
  </si>
  <si>
    <t>CUST988</t>
  </si>
  <si>
    <t>CUST271</t>
  </si>
  <si>
    <t>CUST920</t>
  </si>
  <si>
    <t>CUST909</t>
  </si>
  <si>
    <t>CUST850</t>
  </si>
  <si>
    <t>CUST978</t>
  </si>
  <si>
    <t>CUST236</t>
  </si>
  <si>
    <t>CUST795</t>
  </si>
  <si>
    <t>CUST459</t>
  </si>
  <si>
    <t>CUST743</t>
  </si>
  <si>
    <t>CUST778</t>
  </si>
  <si>
    <t>CUST620</t>
  </si>
  <si>
    <t>CUST238</t>
  </si>
  <si>
    <t>CUST837</t>
  </si>
  <si>
    <t>CUST264</t>
  </si>
  <si>
    <t>CUST922</t>
  </si>
  <si>
    <t>CUST111</t>
  </si>
  <si>
    <t>CUST625</t>
  </si>
  <si>
    <t>CUST872</t>
  </si>
  <si>
    <t>CUST216</t>
  </si>
  <si>
    <t>CUST124</t>
  </si>
  <si>
    <t>CUST873</t>
  </si>
  <si>
    <t>CUST232</t>
  </si>
  <si>
    <t>CUST274</t>
  </si>
  <si>
    <t>CUST903</t>
  </si>
  <si>
    <t>CUST960</t>
  </si>
  <si>
    <t>CUST734</t>
  </si>
  <si>
    <t>CUST234</t>
  </si>
  <si>
    <t>CUST824</t>
  </si>
  <si>
    <t>CUST556</t>
  </si>
  <si>
    <t>CUST853</t>
  </si>
  <si>
    <t>CUST148</t>
  </si>
  <si>
    <t>CUST834</t>
  </si>
  <si>
    <t>CUST428</t>
  </si>
  <si>
    <t>CUST993</t>
  </si>
  <si>
    <t>CUST318</t>
  </si>
  <si>
    <t>CUST280</t>
  </si>
  <si>
    <t>CUST538</t>
  </si>
  <si>
    <t>CUST120</t>
  </si>
  <si>
    <t>CUST640</t>
  </si>
  <si>
    <t>CUST445</t>
  </si>
  <si>
    <t>Phone</t>
  </si>
  <si>
    <t>Printer</t>
  </si>
  <si>
    <t>Monitor</t>
  </si>
  <si>
    <t>Tablet</t>
  </si>
  <si>
    <t>Laptop</t>
  </si>
  <si>
    <t>Office</t>
  </si>
  <si>
    <t>Electronics</t>
  </si>
  <si>
    <t>Accessories</t>
  </si>
  <si>
    <t>South</t>
  </si>
  <si>
    <t>East</t>
  </si>
  <si>
    <t>West</t>
  </si>
  <si>
    <t>North</t>
  </si>
  <si>
    <t>Rahul</t>
  </si>
  <si>
    <t>Priya</t>
  </si>
  <si>
    <t>Amit</t>
  </si>
  <si>
    <t>Arjun</t>
  </si>
  <si>
    <t>Neha</t>
  </si>
  <si>
    <t>average sales</t>
  </si>
  <si>
    <t>sales</t>
  </si>
  <si>
    <t>Row Labels</t>
  </si>
  <si>
    <t>Grand Total</t>
  </si>
  <si>
    <t>Sum of Total_Sales</t>
  </si>
  <si>
    <t>Jan</t>
  </si>
  <si>
    <t>Feb</t>
  </si>
  <si>
    <t>Mar</t>
  </si>
  <si>
    <t>month</t>
  </si>
  <si>
    <t>Apr</t>
  </si>
  <si>
    <t>May</t>
  </si>
  <si>
    <t>Jun</t>
  </si>
  <si>
    <t>Jul</t>
  </si>
  <si>
    <t>Aug</t>
  </si>
  <si>
    <t>Sep</t>
  </si>
  <si>
    <t>Oct</t>
  </si>
  <si>
    <t>Nov</t>
  </si>
  <si>
    <t>Dec</t>
  </si>
  <si>
    <t>profit</t>
  </si>
  <si>
    <t>Sum of profit</t>
  </si>
  <si>
    <t>Column Labels</t>
  </si>
  <si>
    <t>Total sales</t>
  </si>
  <si>
    <t>Total orders</t>
  </si>
  <si>
    <t>Average orders</t>
  </si>
  <si>
    <t xml:space="preserve">Laptop category generate highest revenue </t>
  </si>
  <si>
    <t xml:space="preserve">North region generate highest revenue </t>
  </si>
  <si>
    <t>Rahul top performing salesman</t>
  </si>
  <si>
    <t>sales increase in frb to march</t>
  </si>
  <si>
    <t>conclusion</t>
  </si>
  <si>
    <t>This project demonstrates how raw business data can be transformed into meaningful insights using Excel data analytics techniques. By applying data cleaning, formulas, pivot tables, and visualization tools, we created an interactive dashboard that helps businesses monitor sales performance and make data-driven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</si>
</sst>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wrapText="1"/>
    </xf>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Dashboard.xlsx]Salesman Performance!PivotTable2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Performance'!$B$1</c:f>
              <c:strCache>
                <c:ptCount val="1"/>
                <c:pt idx="0">
                  <c:v>Total</c:v>
                </c:pt>
              </c:strCache>
            </c:strRef>
          </c:tx>
          <c:spPr>
            <a:solidFill>
              <a:schemeClr val="accent1"/>
            </a:solidFill>
            <a:ln>
              <a:noFill/>
            </a:ln>
            <a:effectLst/>
          </c:spPr>
          <c:invertIfNegative val="0"/>
          <c:cat>
            <c:strRef>
              <c:f>'Salesman Performance'!$A$2:$A$7</c:f>
              <c:strCache>
                <c:ptCount val="5"/>
                <c:pt idx="0">
                  <c:v>Priya</c:v>
                </c:pt>
                <c:pt idx="1">
                  <c:v>Rahul</c:v>
                </c:pt>
                <c:pt idx="2">
                  <c:v>Arjun</c:v>
                </c:pt>
                <c:pt idx="3">
                  <c:v>Neha</c:v>
                </c:pt>
                <c:pt idx="4">
                  <c:v>Amit</c:v>
                </c:pt>
              </c:strCache>
            </c:strRef>
          </c:cat>
          <c:val>
            <c:numRef>
              <c:f>'Salesman Performance'!$B$2:$B$7</c:f>
              <c:numCache>
                <c:formatCode>General</c:formatCode>
                <c:ptCount val="5"/>
                <c:pt idx="0">
                  <c:v>5864530</c:v>
                </c:pt>
                <c:pt idx="1">
                  <c:v>5795163</c:v>
                </c:pt>
                <c:pt idx="2">
                  <c:v>5574108</c:v>
                </c:pt>
                <c:pt idx="3">
                  <c:v>5443300</c:v>
                </c:pt>
                <c:pt idx="4">
                  <c:v>5239172</c:v>
                </c:pt>
              </c:numCache>
            </c:numRef>
          </c:val>
          <c:extLst>
            <c:ext xmlns:c16="http://schemas.microsoft.com/office/drawing/2014/chart" uri="{C3380CC4-5D6E-409C-BE32-E72D297353CC}">
              <c16:uniqueId val="{00000000-D997-40E9-AA87-C442BE3FCC96}"/>
            </c:ext>
          </c:extLst>
        </c:ser>
        <c:dLbls>
          <c:showLegendKey val="0"/>
          <c:showVal val="0"/>
          <c:showCatName val="0"/>
          <c:showSerName val="0"/>
          <c:showPercent val="0"/>
          <c:showBubbleSize val="0"/>
        </c:dLbls>
        <c:gapWidth val="219"/>
        <c:overlap val="-27"/>
        <c:axId val="1319234751"/>
        <c:axId val="1319235231"/>
      </c:barChart>
      <c:catAx>
        <c:axId val="131923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35231"/>
        <c:crosses val="autoZero"/>
        <c:auto val="1"/>
        <c:lblAlgn val="ctr"/>
        <c:lblOffset val="100"/>
        <c:noMultiLvlLbl val="0"/>
      </c:catAx>
      <c:valAx>
        <c:axId val="131923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3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Dashboard.xlsx]Monthly Sales Trend!PivotTable3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808688</c:v>
                </c:pt>
                <c:pt idx="1">
                  <c:v>133335</c:v>
                </c:pt>
                <c:pt idx="2">
                  <c:v>516453</c:v>
                </c:pt>
                <c:pt idx="3">
                  <c:v>869877</c:v>
                </c:pt>
                <c:pt idx="4">
                  <c:v>23817</c:v>
                </c:pt>
                <c:pt idx="5">
                  <c:v>1208803</c:v>
                </c:pt>
                <c:pt idx="6">
                  <c:v>925635</c:v>
                </c:pt>
                <c:pt idx="7">
                  <c:v>747470</c:v>
                </c:pt>
                <c:pt idx="8">
                  <c:v>1157852</c:v>
                </c:pt>
                <c:pt idx="9">
                  <c:v>500259</c:v>
                </c:pt>
                <c:pt idx="10">
                  <c:v>2309662</c:v>
                </c:pt>
                <c:pt idx="11">
                  <c:v>244434</c:v>
                </c:pt>
              </c:numCache>
            </c:numRef>
          </c:val>
          <c:smooth val="0"/>
          <c:extLst>
            <c:ext xmlns:c16="http://schemas.microsoft.com/office/drawing/2014/chart" uri="{C3380CC4-5D6E-409C-BE32-E72D297353CC}">
              <c16:uniqueId val="{00000000-C249-48F8-9CB4-BF8D6A20BA0F}"/>
            </c:ext>
          </c:extLst>
        </c:ser>
        <c:dLbls>
          <c:showLegendKey val="0"/>
          <c:showVal val="0"/>
          <c:showCatName val="0"/>
          <c:showSerName val="0"/>
          <c:showPercent val="0"/>
          <c:showBubbleSize val="0"/>
        </c:dLbls>
        <c:smooth val="0"/>
        <c:axId val="1210649983"/>
        <c:axId val="1210653823"/>
      </c:lineChart>
      <c:catAx>
        <c:axId val="12106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53823"/>
        <c:crosses val="autoZero"/>
        <c:auto val="1"/>
        <c:lblAlgn val="ctr"/>
        <c:lblOffset val="100"/>
        <c:noMultiLvlLbl val="0"/>
      </c:catAx>
      <c:valAx>
        <c:axId val="121065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Dashboard.xlsx]Category Sales Share!PivotTable4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 Sales Share'!$B$3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'Category Sales Share'!$A$4:$A$7</c:f>
              <c:strCache>
                <c:ptCount val="3"/>
                <c:pt idx="0">
                  <c:v>Accessories</c:v>
                </c:pt>
                <c:pt idx="1">
                  <c:v>Electronics</c:v>
                </c:pt>
                <c:pt idx="2">
                  <c:v>Office</c:v>
                </c:pt>
              </c:strCache>
            </c:strRef>
          </c:cat>
          <c:val>
            <c:numRef>
              <c:f>'Category Sales Share'!$B$4:$B$7</c:f>
              <c:numCache>
                <c:formatCode>General</c:formatCode>
                <c:ptCount val="3"/>
                <c:pt idx="0">
                  <c:v>9446285</c:v>
                </c:pt>
                <c:pt idx="1">
                  <c:v>10131836</c:v>
                </c:pt>
                <c:pt idx="2">
                  <c:v>8338152</c:v>
                </c:pt>
              </c:numCache>
            </c:numRef>
          </c:val>
          <c:extLst>
            <c:ext xmlns:c16="http://schemas.microsoft.com/office/drawing/2014/chart" uri="{C3380CC4-5D6E-409C-BE32-E72D297353CC}">
              <c16:uniqueId val="{00000000-A991-4373-9D43-613EE76818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Dashboard.xlsx]Monthly Sales Trend!PivotTable3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808688</c:v>
                </c:pt>
                <c:pt idx="1">
                  <c:v>133335</c:v>
                </c:pt>
                <c:pt idx="2">
                  <c:v>516453</c:v>
                </c:pt>
                <c:pt idx="3">
                  <c:v>869877</c:v>
                </c:pt>
                <c:pt idx="4">
                  <c:v>23817</c:v>
                </c:pt>
                <c:pt idx="5">
                  <c:v>1208803</c:v>
                </c:pt>
                <c:pt idx="6">
                  <c:v>925635</c:v>
                </c:pt>
                <c:pt idx="7">
                  <c:v>747470</c:v>
                </c:pt>
                <c:pt idx="8">
                  <c:v>1157852</c:v>
                </c:pt>
                <c:pt idx="9">
                  <c:v>500259</c:v>
                </c:pt>
                <c:pt idx="10">
                  <c:v>2309662</c:v>
                </c:pt>
                <c:pt idx="11">
                  <c:v>244434</c:v>
                </c:pt>
              </c:numCache>
            </c:numRef>
          </c:val>
          <c:smooth val="0"/>
          <c:extLst>
            <c:ext xmlns:c16="http://schemas.microsoft.com/office/drawing/2014/chart" uri="{C3380CC4-5D6E-409C-BE32-E72D297353CC}">
              <c16:uniqueId val="{00000000-EB67-49F6-8922-D4FF96AE6A60}"/>
            </c:ext>
          </c:extLst>
        </c:ser>
        <c:dLbls>
          <c:showLegendKey val="0"/>
          <c:showVal val="0"/>
          <c:showCatName val="0"/>
          <c:showSerName val="0"/>
          <c:showPercent val="0"/>
          <c:showBubbleSize val="0"/>
        </c:dLbls>
        <c:smooth val="0"/>
        <c:axId val="1210649983"/>
        <c:axId val="1210653823"/>
      </c:lineChart>
      <c:catAx>
        <c:axId val="12106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53823"/>
        <c:crosses val="autoZero"/>
        <c:auto val="1"/>
        <c:lblAlgn val="ctr"/>
        <c:lblOffset val="100"/>
        <c:noMultiLvlLbl val="0"/>
      </c:catAx>
      <c:valAx>
        <c:axId val="121065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Dashboard.xlsx]Salesman Performance!PivotTable2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Salesman Performance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Performance'!$B$1</c:f>
              <c:strCache>
                <c:ptCount val="1"/>
                <c:pt idx="0">
                  <c:v>Total</c:v>
                </c:pt>
              </c:strCache>
            </c:strRef>
          </c:tx>
          <c:spPr>
            <a:solidFill>
              <a:schemeClr val="accent1"/>
            </a:solidFill>
            <a:ln>
              <a:noFill/>
            </a:ln>
            <a:effectLst/>
          </c:spPr>
          <c:invertIfNegative val="0"/>
          <c:cat>
            <c:strRef>
              <c:f>'Salesman Performance'!$A$2:$A$7</c:f>
              <c:strCache>
                <c:ptCount val="5"/>
                <c:pt idx="0">
                  <c:v>Priya</c:v>
                </c:pt>
                <c:pt idx="1">
                  <c:v>Rahul</c:v>
                </c:pt>
                <c:pt idx="2">
                  <c:v>Arjun</c:v>
                </c:pt>
                <c:pt idx="3">
                  <c:v>Neha</c:v>
                </c:pt>
                <c:pt idx="4">
                  <c:v>Amit</c:v>
                </c:pt>
              </c:strCache>
            </c:strRef>
          </c:cat>
          <c:val>
            <c:numRef>
              <c:f>'Salesman Performance'!$B$2:$B$7</c:f>
              <c:numCache>
                <c:formatCode>General</c:formatCode>
                <c:ptCount val="5"/>
                <c:pt idx="0">
                  <c:v>5864530</c:v>
                </c:pt>
                <c:pt idx="1">
                  <c:v>5795163</c:v>
                </c:pt>
                <c:pt idx="2">
                  <c:v>5574108</c:v>
                </c:pt>
                <c:pt idx="3">
                  <c:v>5443300</c:v>
                </c:pt>
                <c:pt idx="4">
                  <c:v>5239172</c:v>
                </c:pt>
              </c:numCache>
            </c:numRef>
          </c:val>
          <c:extLst>
            <c:ext xmlns:c16="http://schemas.microsoft.com/office/drawing/2014/chart" uri="{C3380CC4-5D6E-409C-BE32-E72D297353CC}">
              <c16:uniqueId val="{00000000-D9D4-4BA7-89D1-BED215186E1A}"/>
            </c:ext>
          </c:extLst>
        </c:ser>
        <c:dLbls>
          <c:showLegendKey val="0"/>
          <c:showVal val="0"/>
          <c:showCatName val="0"/>
          <c:showSerName val="0"/>
          <c:showPercent val="0"/>
          <c:showBubbleSize val="0"/>
        </c:dLbls>
        <c:gapWidth val="219"/>
        <c:overlap val="-27"/>
        <c:axId val="1319234751"/>
        <c:axId val="1319235231"/>
      </c:barChart>
      <c:catAx>
        <c:axId val="131923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35231"/>
        <c:crosses val="autoZero"/>
        <c:auto val="1"/>
        <c:lblAlgn val="ctr"/>
        <c:lblOffset val="100"/>
        <c:noMultiLvlLbl val="0"/>
      </c:catAx>
      <c:valAx>
        <c:axId val="131923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3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[87 Sales Performance Analysis Using Excel Dashboard.xlsx]Category Sales Share!PivotTable4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'Category Sales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F-421C-A258-AC9E78F66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F-421C-A258-AC9E78F661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DF-421C-A258-AC9E78F661D8}"/>
              </c:ext>
            </c:extLst>
          </c:dPt>
          <c:cat>
            <c:strRef>
              <c:f>'Category Sales Share'!$A$4:$A$7</c:f>
              <c:strCache>
                <c:ptCount val="3"/>
                <c:pt idx="0">
                  <c:v>Accessories</c:v>
                </c:pt>
                <c:pt idx="1">
                  <c:v>Electronics</c:v>
                </c:pt>
                <c:pt idx="2">
                  <c:v>Office</c:v>
                </c:pt>
              </c:strCache>
            </c:strRef>
          </c:cat>
          <c:val>
            <c:numRef>
              <c:f>'Category Sales Share'!$B$4:$B$7</c:f>
              <c:numCache>
                <c:formatCode>General</c:formatCode>
                <c:ptCount val="3"/>
                <c:pt idx="0">
                  <c:v>9446285</c:v>
                </c:pt>
                <c:pt idx="1">
                  <c:v>10131836</c:v>
                </c:pt>
                <c:pt idx="2">
                  <c:v>8338152</c:v>
                </c:pt>
              </c:numCache>
            </c:numRef>
          </c:val>
          <c:extLst>
            <c:ext xmlns:c16="http://schemas.microsoft.com/office/drawing/2014/chart" uri="{C3380CC4-5D6E-409C-BE32-E72D297353CC}">
              <c16:uniqueId val="{00000006-26DF-421C-A258-AC9E78F661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A1954EF-6DD2-44CE-ADD1-328AC8D470EA}">
          <cx:tx>
            <cx:txData>
              <cx:f>_xlchart.v1.4</cx:f>
              <cx:v>Sum of profit</cx:v>
            </cx:txData>
          </cx:tx>
          <cx:dataLabels pos="in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482600</xdr:colOff>
      <xdr:row>1</xdr:row>
      <xdr:rowOff>66675</xdr:rowOff>
    </xdr:from>
    <xdr:to>
      <xdr:col>10</xdr:col>
      <xdr:colOff>177800</xdr:colOff>
      <xdr:row>16</xdr:row>
      <xdr:rowOff>47625</xdr:rowOff>
    </xdr:to>
    <xdr:graphicFrame macro="">
      <xdr:nvGraphicFramePr>
        <xdr:cNvPr id="2" name="Chart 1">
          <a:extLst>
            <a:ext uri="{FF2B5EF4-FFF2-40B4-BE49-F238E27FC236}">
              <a16:creationId xmlns:a16="http://schemas.microsoft.com/office/drawing/2014/main" id="{DD52ACB4-0C97-5FDD-145B-5C958CE2D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92075</xdr:rowOff>
    </xdr:from>
    <xdr:to>
      <xdr:col>10</xdr:col>
      <xdr:colOff>304800</xdr:colOff>
      <xdr:row>16</xdr:row>
      <xdr:rowOff>73025</xdr:rowOff>
    </xdr:to>
    <xdr:graphicFrame macro="">
      <xdr:nvGraphicFramePr>
        <xdr:cNvPr id="2" name="Chart 1">
          <a:extLst>
            <a:ext uri="{FF2B5EF4-FFF2-40B4-BE49-F238E27FC236}">
              <a16:creationId xmlns:a16="http://schemas.microsoft.com/office/drawing/2014/main" id="{742E38DE-E846-3FD7-661E-92B02898C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387350</xdr:colOff>
      <xdr:row>1</xdr:row>
      <xdr:rowOff>111125</xdr:rowOff>
    </xdr:from>
    <xdr:to>
      <xdr:col>10</xdr:col>
      <xdr:colOff>82550</xdr:colOff>
      <xdr:row>16</xdr:row>
      <xdr:rowOff>92075</xdr:rowOff>
    </xdr:to>
    <xdr:graphicFrame macro="">
      <xdr:nvGraphicFramePr>
        <xdr:cNvPr id="2" name="Chart 1">
          <a:extLst>
            <a:ext uri="{FF2B5EF4-FFF2-40B4-BE49-F238E27FC236}">
              <a16:creationId xmlns:a16="http://schemas.microsoft.com/office/drawing/2014/main" id="{F2772A12-3747-5005-09C4-AA4A69A93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158750</xdr:colOff>
      <xdr:row>0</xdr:row>
      <xdr:rowOff>114300</xdr:rowOff>
    </xdr:from>
    <xdr:to>
      <xdr:col>22</xdr:col>
      <xdr:colOff>152399</xdr:colOff>
      <xdr:row>25</xdr:row>
      <xdr:rowOff>69849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A8A2892-78F0-9CC1-2211-151D1C9480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5150" y="114300"/>
              <a:ext cx="8997949" cy="4559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165100</xdr:rowOff>
    </xdr:to>
    <xdr:graphicFrame macro="">
      <xdr:nvGraphicFramePr>
        <xdr:cNvPr id="2" name="Chart 1">
          <a:extLst>
            <a:ext uri="{FF2B5EF4-FFF2-40B4-BE49-F238E27FC236}">
              <a16:creationId xmlns:a16="http://schemas.microsoft.com/office/drawing/2014/main" id="{ED6B361C-7472-4DCC-9427-5FCFF35B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0</xdr:row>
      <xdr:rowOff>12700</xdr:rowOff>
    </xdr:from>
    <xdr:to>
      <xdr:col>18</xdr:col>
      <xdr:colOff>0</xdr:colOff>
      <xdr:row>14</xdr:row>
      <xdr:rowOff>177800</xdr:rowOff>
    </xdr:to>
    <xdr:graphicFrame macro="">
      <xdr:nvGraphicFramePr>
        <xdr:cNvPr id="3" name="Chart 2">
          <a:extLst>
            <a:ext uri="{FF2B5EF4-FFF2-40B4-BE49-F238E27FC236}">
              <a16:creationId xmlns:a16="http://schemas.microsoft.com/office/drawing/2014/main" id="{059DC924-4425-4A06-89F1-1A8656B58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146050</xdr:rowOff>
    </xdr:from>
    <xdr:to>
      <xdr:col>10</xdr:col>
      <xdr:colOff>304800</xdr:colOff>
      <xdr:row>29</xdr:row>
      <xdr:rowOff>127000</xdr:rowOff>
    </xdr:to>
    <xdr:graphicFrame macro="">
      <xdr:nvGraphicFramePr>
        <xdr:cNvPr id="4" name="Chart 3">
          <a:extLst>
            <a:ext uri="{FF2B5EF4-FFF2-40B4-BE49-F238E27FC236}">
              <a16:creationId xmlns:a16="http://schemas.microsoft.com/office/drawing/2014/main" id="{2365C105-A196-4C21-A06A-01ECB823D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533400</xdr:colOff>
      <xdr:row>15</xdr:row>
      <xdr:rowOff>88900</xdr:rowOff>
    </xdr:from>
    <xdr:to>
      <xdr:col>13</xdr:col>
      <xdr:colOff>533400</xdr:colOff>
      <xdr:row>29</xdr:row>
      <xdr:rowOff>130172</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9C5C945-A749-E4E9-0F4C-2D9AE85C53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21500" y="2851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15</xdr:row>
      <xdr:rowOff>114300</xdr:rowOff>
    </xdr:from>
    <xdr:to>
      <xdr:col>16</xdr:col>
      <xdr:colOff>571500</xdr:colOff>
      <xdr:row>29</xdr:row>
      <xdr:rowOff>155572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B685225-019C-1C55-A9A8-9FD8C4BCD6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88400" y="2876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577850</xdr:colOff>
      <xdr:row>15</xdr:row>
      <xdr:rowOff>114300</xdr:rowOff>
    </xdr:from>
    <xdr:to>
      <xdr:col>19</xdr:col>
      <xdr:colOff>577850</xdr:colOff>
      <xdr:row>29</xdr:row>
      <xdr:rowOff>155572</xdr:rowOff>
    </xdr:to>
    <mc:AlternateContent xmlns:mc="http://schemas.openxmlformats.org/markup-compatibility/2006">
      <mc:Choice xmlns:a14="http://schemas.microsoft.com/office/drawing/2010/main" Requires="a14">
        <xdr:graphicFrame macro="">
          <xdr:nvGraphicFramePr>
            <xdr:cNvPr id="7" name="Order_Date">
              <a:extLst>
                <a:ext uri="{FF2B5EF4-FFF2-40B4-BE49-F238E27FC236}">
                  <a16:creationId xmlns:a16="http://schemas.microsoft.com/office/drawing/2014/main" id="{22B48441-9408-15FB-494B-CB2D4DD88407}"/>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0623550" y="2876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refreshedDate="46091.391687037038" createdVersion="8" refreshedVersion="8" minRefreshableVersion="3" recordCount="99" xr:uid="{A8DEF0E6-A53E-43A5-B085-1B92A16C5084}">
  <cacheSource type="worksheet">
    <worksheetSource ref="A1:L100" sheet="data"/>
  </cacheSource>
  <cacheFields count="12">
    <cacheField name="Order_ID" numFmtId="0">
      <sharedItems/>
    </cacheField>
    <cacheField name="Customer_ID" numFmtId="0">
      <sharedItems/>
    </cacheField>
    <cacheField name="Product" numFmtId="0">
      <sharedItems/>
    </cacheField>
    <cacheField name="Category" numFmtId="0">
      <sharedItems count="3">
        <s v="Accessories"/>
        <s v="Electronics"/>
        <s v="Office"/>
      </sharedItems>
    </cacheField>
    <cacheField name="Region" numFmtId="0">
      <sharedItems/>
    </cacheField>
    <cacheField name="Salesman" numFmtId="0">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2125" maxValue="49117"/>
    </cacheField>
    <cacheField name="Total_Sales" numFmtId="0">
      <sharedItems containsSemiMixedTypes="0" containsString="0" containsNumber="1" containsInteger="1" minValue="4250" maxValue="883880"/>
    </cacheField>
    <cacheField name="Order_Date" numFmtId="14">
      <sharedItems containsSemiMixedTypes="0" containsNonDate="0" containsDate="1" containsString="0" minDate="2024-01-01T00:00:00" maxDate="2026-01-01T00:00:00"/>
    </cacheField>
    <cacheField name="sales"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refreshedDate="46091.3916875" createdVersion="8" refreshedVersion="8" minRefreshableVersion="3" recordCount="99" xr:uid="{06E35B8D-ED81-4447-9326-43F29F4C0403}">
  <cacheSource type="worksheet">
    <worksheetSource ref="A1:K100" sheet="data"/>
  </cacheSource>
  <cacheFields count="14">
    <cacheField name="Order_ID" numFmtId="0">
      <sharedItems/>
    </cacheField>
    <cacheField name="Customer_ID" numFmtId="0">
      <sharedItems/>
    </cacheField>
    <cacheField name="Product" numFmtId="0">
      <sharedItems/>
    </cacheField>
    <cacheField name="Category" numFmtId="0">
      <sharedItems count="3">
        <s v="Accessories"/>
        <s v="Electronics"/>
        <s v="Office"/>
      </sharedItems>
    </cacheField>
    <cacheField name="Region" numFmtId="0">
      <sharedItems count="4">
        <s v="East"/>
        <s v="North"/>
        <s v="West"/>
        <s v="South"/>
      </sharedItems>
    </cacheField>
    <cacheField name="Salesman" numFmtId="0">
      <sharedItems count="5">
        <s v="Rahul"/>
        <s v="Neha"/>
        <s v="Priya"/>
        <s v="Amit"/>
        <s v="Arjun"/>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2125" maxValue="49117"/>
    </cacheField>
    <cacheField name="Total_Sales" numFmtId="0">
      <sharedItems containsSemiMixedTypes="0" containsString="0" containsNumber="1" containsInteger="1" minValue="4250" maxValue="883880"/>
    </cacheField>
    <cacheField name="Order_Date" numFmtId="14">
      <sharedItems containsSemiMixedTypes="0" containsNonDate="0" containsDate="1" containsString="0" minDate="2024-01-01T00:00:00" maxDate="2026-01-01T00:00:00" count="94">
        <d v="2024-01-01T00:00:00"/>
        <d v="2024-01-12T00:00:00"/>
        <d v="2024-01-13T00:00:00"/>
        <d v="2024-01-29T00:00:00"/>
        <d v="2024-02-09T00:00:00"/>
        <d v="2024-02-13T00:00:00"/>
        <d v="2024-02-19T00:00:00"/>
        <d v="2024-03-17T00:00:00"/>
        <d v="2024-03-27T00:00:00"/>
        <d v="2024-04-02T00:00:00"/>
        <d v="2024-04-03T00:00:00"/>
        <d v="2024-04-07T00:00:00"/>
        <d v="2024-04-10T00:00:00"/>
        <d v="2024-04-28T00:00:00"/>
        <d v="2024-05-10T00:00:00"/>
        <d v="2024-05-21T00:00:00"/>
        <d v="2024-05-25T00:00:00"/>
        <d v="2024-06-20T00:00:00"/>
        <d v="2024-06-22T00:00:00"/>
        <d v="2024-06-23T00:00:00"/>
        <d v="2024-07-09T00:00:00"/>
        <d v="2024-08-01T00:00:00"/>
        <d v="2024-08-14T00:00:00"/>
        <d v="2024-08-16T00:00:00"/>
        <d v="2024-08-20T00:00:00"/>
        <d v="2024-09-08T00:00:00"/>
        <d v="2024-09-10T00:00:00"/>
        <d v="2024-09-22T00:00:00"/>
        <d v="2024-09-29T00:00:00"/>
        <d v="2024-10-04T00:00:00"/>
        <d v="2024-10-05T00:00:00"/>
        <d v="2024-10-08T00:00:00"/>
        <d v="2024-10-13T00:00:00"/>
        <d v="2024-10-28T00:00:00"/>
        <d v="2024-11-08T00:00:00"/>
        <d v="2024-11-12T00:00:00"/>
        <d v="2024-11-14T00:00:00"/>
        <d v="2024-11-21T00:00:00"/>
        <d v="2024-12-01T00:00:00"/>
        <d v="2024-12-02T00:00:00"/>
        <d v="2024-12-03T00:00:00"/>
        <d v="2024-12-09T00:00:00"/>
        <d v="2024-12-19T00:00:00"/>
        <d v="2024-12-27T00:00:00"/>
        <d v="2025-01-11T00:00:00"/>
        <d v="2025-01-19T00:00:00"/>
        <d v="2025-02-04T00:00:00"/>
        <d v="2025-02-09T00:00:00"/>
        <d v="2025-02-17T00:00:00"/>
        <d v="2025-02-28T00:00:00"/>
        <d v="2025-03-18T00:00:00"/>
        <d v="2025-04-01T00:00:00"/>
        <d v="2025-04-02T00:00:00"/>
        <d v="2025-04-07T00:00:00"/>
        <d v="2025-04-08T00:00:00"/>
        <d v="2025-04-12T00:00:00"/>
        <d v="2025-04-14T00:00:00"/>
        <d v="2025-04-26T00:00:00"/>
        <d v="2025-05-01T00:00:00"/>
        <d v="2025-05-08T00:00:00"/>
        <d v="2025-05-10T00:00:00"/>
        <d v="2025-05-17T00:00:00"/>
        <d v="2025-05-21T00:00:00"/>
        <d v="2025-05-26T00:00:00"/>
        <d v="2025-06-09T00:00:00"/>
        <d v="2025-06-28T00:00:00"/>
        <d v="2025-06-29T00:00:00"/>
        <d v="2025-07-06T00:00:00"/>
        <d v="2025-07-07T00:00:00"/>
        <d v="2025-07-10T00:00:00"/>
        <d v="2025-07-13T00:00:00"/>
        <d v="2025-08-05T00:00:00"/>
        <d v="2025-08-09T00:00:00"/>
        <d v="2025-08-11T00:00:00"/>
        <d v="2025-08-15T00:00:00"/>
        <d v="2025-08-22T00:00:00"/>
        <d v="2025-08-31T00:00:00"/>
        <d v="2025-09-03T00:00:00"/>
        <d v="2025-09-05T00:00:00"/>
        <d v="2025-09-13T00:00:00"/>
        <d v="2025-09-26T00:00:00"/>
        <d v="2025-09-28T00:00:00"/>
        <d v="2025-09-29T00:00:00"/>
        <d v="2025-10-02T00:00:00"/>
        <d v="2025-10-12T00:00:00"/>
        <d v="2025-10-14T00:00:00"/>
        <d v="2025-10-21T00:00:00"/>
        <d v="2025-11-16T00:00:00"/>
        <d v="2025-11-20T00:00:00"/>
        <d v="2025-11-21T00:00:00"/>
        <d v="2025-11-28T00:00:00"/>
        <d v="2025-12-04T00:00:00"/>
        <d v="2025-12-26T00:00:00"/>
        <d v="2025-12-31T00:00:00"/>
      </sharedItems>
      <fieldGroup par="13"/>
    </cacheField>
    <cacheField name="sales" numFmtId="0">
      <sharedItems/>
    </cacheField>
    <cacheField name="Months (Order_Date)" numFmtId="0" databaseField="0">
      <fieldGroup base="9">
        <rangePr groupBy="months" startDate="2024-01-01T00:00:00" endDate="2026-01-01T00:00:00"/>
        <groupItems count="14">
          <s v="&lt;01-01-24"/>
          <s v="Jan"/>
          <s v="Feb"/>
          <s v="Mar"/>
          <s v="Apr"/>
          <s v="May"/>
          <s v="Jun"/>
          <s v="Jul"/>
          <s v="Aug"/>
          <s v="Sep"/>
          <s v="Oct"/>
          <s v="Nov"/>
          <s v="Dec"/>
          <s v="&gt;01-01-26"/>
        </groupItems>
      </fieldGroup>
    </cacheField>
    <cacheField name="Quarters (Order_Date)" numFmtId="0" databaseField="0">
      <fieldGroup base="9">
        <rangePr groupBy="quarters" startDate="2024-01-01T00:00:00" endDate="2026-01-01T00:00:00"/>
        <groupItems count="6">
          <s v="&lt;01-01-24"/>
          <s v="Qtr1"/>
          <s v="Qtr2"/>
          <s v="Qtr3"/>
          <s v="Qtr4"/>
          <s v="&gt;01-01-26"/>
        </groupItems>
      </fieldGroup>
    </cacheField>
    <cacheField name="Years (Order_Date)" numFmtId="0" databaseField="0">
      <fieldGroup base="9">
        <rangePr groupBy="years" startDate="2024-01-01T00:00:00" endDate="2026-01-01T00:00:00"/>
        <groupItems count="5">
          <s v="&lt;01-01-24"/>
          <s v="2024"/>
          <s v="2025"/>
          <s v="2026"/>
          <s v="&gt;01-01-26"/>
        </groupItems>
      </fieldGroup>
    </cacheField>
  </cacheFields>
  <extLst>
    <ext xmlns:x14="http://schemas.microsoft.com/office/spreadsheetml/2009/9/main" uri="{725AE2AE-9491-48be-B2B4-4EB974FC3084}">
      <x14:pivotCacheDefinition pivotCacheId="11413327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refreshedDate="46091.391910416663" createdVersion="8" refreshedVersion="8" minRefreshableVersion="3" recordCount="99" xr:uid="{370CC296-7E8B-476E-B17D-DEC4507F0728}">
  <cacheSource type="worksheet">
    <worksheetSource ref="A1:M100" sheet="data"/>
  </cacheSource>
  <cacheFields count="13">
    <cacheField name="Order_ID" numFmtId="0">
      <sharedItems/>
    </cacheField>
    <cacheField name="Customer_ID" numFmtId="0">
      <sharedItems/>
    </cacheField>
    <cacheField name="Product" numFmtId="0">
      <sharedItems count="5">
        <s v="Monitor"/>
        <s v="Tablet"/>
        <s v="Printer"/>
        <s v="Phone"/>
        <s v="Laptop"/>
      </sharedItems>
    </cacheField>
    <cacheField name="Category" numFmtId="0">
      <sharedItems/>
    </cacheField>
    <cacheField name="Region" numFmtId="0">
      <sharedItems/>
    </cacheField>
    <cacheField name="Salesman" numFmtId="0">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2125" maxValue="49117"/>
    </cacheField>
    <cacheField name="Total_Sales" numFmtId="0">
      <sharedItems containsSemiMixedTypes="0" containsString="0" containsNumber="1" containsInteger="1" minValue="4250" maxValue="883880"/>
    </cacheField>
    <cacheField name="Order_Date" numFmtId="14">
      <sharedItems containsSemiMixedTypes="0" containsNonDate="0" containsDate="1" containsString="0" minDate="2024-01-01T00:00:00" maxDate="2026-01-01T00:00:00"/>
    </cacheField>
    <cacheField name="sales" numFmtId="0">
      <sharedItems/>
    </cacheField>
    <cacheField name="month" numFmtId="0">
      <sharedItems count="12">
        <s v="Jan"/>
        <s v="Feb"/>
        <s v="Mar"/>
        <s v="Apr"/>
        <s v="May"/>
        <s v="Jun"/>
        <s v="Jul"/>
        <s v="Aug"/>
        <s v="Sep"/>
        <s v="Oct"/>
        <s v="Nov"/>
        <s v="Dec"/>
      </sharedItems>
    </cacheField>
    <cacheField name="profit" numFmtId="1">
      <sharedItems containsSemiMixedTypes="0" containsString="0" containsNumber="1" minValue="850" maxValue="176776" count="99">
        <n v="38201.599999999999"/>
        <n v="143463.6"/>
        <n v="62067.600000000006"/>
        <n v="17253.600000000002"/>
        <n v="8054.8"/>
        <n v="68992.800000000003"/>
        <n v="9081.2000000000007"/>
        <n v="18900.600000000002"/>
        <n v="36577"/>
        <n v="31298.400000000001"/>
        <n v="128150.40000000001"/>
        <n v="141357.6"/>
        <n v="114224"/>
        <n v="15629.400000000001"/>
        <n v="4421.2"/>
        <n v="15424"/>
        <n v="3180"/>
        <n v="73416"/>
        <n v="12681.6"/>
        <n v="49388.4"/>
        <n v="58429.8"/>
        <n v="17662.400000000001"/>
        <n v="7218"/>
        <n v="22019.200000000001"/>
        <n v="47920.600000000006"/>
        <n v="15323.800000000001"/>
        <n v="23320"/>
        <n v="18057.600000000002"/>
        <n v="78587.200000000012"/>
        <n v="88778.400000000009"/>
        <n v="35562"/>
        <n v="47068.800000000003"/>
        <n v="66340.800000000003"/>
        <n v="4053"/>
        <n v="52983"/>
        <n v="31907"/>
        <n v="21079.200000000001"/>
        <n v="176776"/>
        <n v="75340.800000000003"/>
        <n v="145159.20000000001"/>
        <n v="46161.600000000006"/>
        <n v="46972"/>
        <n v="166687"/>
        <n v="141028"/>
        <n v="29535"/>
        <n v="89408"/>
        <n v="57584"/>
        <n v="14628.800000000001"/>
        <n v="123536"/>
        <n v="18943.2"/>
        <n v="850"/>
        <n v="45160.800000000003"/>
        <n v="8681"/>
        <n v="12465.2"/>
        <n v="84390"/>
        <n v="95124"/>
        <n v="6102"/>
        <n v="99202.8"/>
        <n v="69830.2"/>
        <n v="44665.200000000004"/>
        <n v="74772.600000000006"/>
        <n v="30646.800000000003"/>
        <n v="71707.199999999997"/>
        <n v="7945"/>
        <n v="99744"/>
        <n v="20509.2"/>
        <n v="47884"/>
        <n v="1583.4"/>
        <n v="20268"/>
        <n v="112075.20000000001"/>
        <n v="6881"/>
        <n v="109004.40000000001"/>
        <n v="105483"/>
        <n v="22266"/>
        <n v="17692.8"/>
        <n v="41291.600000000006"/>
        <n v="126908.40000000001"/>
        <n v="125388"/>
        <n v="19086"/>
        <n v="22585.600000000002"/>
        <n v="48899.200000000004"/>
        <n v="62385.4"/>
        <n v="73916"/>
        <n v="154895.6"/>
        <n v="10742"/>
        <n v="146833.20000000001"/>
        <n v="25855.200000000001"/>
        <n v="17752"/>
        <n v="22204"/>
        <n v="62982.400000000001"/>
        <n v="137174.80000000002"/>
        <n v="79718.400000000009"/>
        <n v="111033.60000000001"/>
        <n v="127259.6"/>
        <n v="98809.200000000012"/>
        <n v="31589.600000000002"/>
        <n v="12490.400000000001"/>
        <n v="41825"/>
        <n v="6861.400000000000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ORD8660"/>
    <s v="CUST143"/>
    <s v="Monitor"/>
    <x v="0"/>
    <s v="East"/>
    <s v="Rahul"/>
    <n v="8"/>
    <n v="23876"/>
    <n v="191008"/>
    <d v="2024-01-01T00:00:00"/>
    <s v="high sales"/>
    <s v="Jan"/>
  </r>
  <r>
    <s v="ORD3640"/>
    <s v="CUST887"/>
    <s v="Tablet"/>
    <x v="1"/>
    <s v="North"/>
    <s v="Neha"/>
    <n v="18"/>
    <n v="39851"/>
    <n v="717318"/>
    <d v="2024-01-12T00:00:00"/>
    <s v="high sales"/>
    <s v="Jan"/>
  </r>
  <r>
    <s v="ORD9305"/>
    <s v="CUST922"/>
    <s v="Printer"/>
    <x v="2"/>
    <s v="East"/>
    <s v="Neha"/>
    <n v="18"/>
    <n v="17241"/>
    <n v="310338"/>
    <d v="2024-01-13T00:00:00"/>
    <s v="high sales"/>
    <s v="Jan"/>
  </r>
  <r>
    <s v="ORD3486"/>
    <s v="CUST899"/>
    <s v="Monitor"/>
    <x v="1"/>
    <s v="East"/>
    <s v="Neha"/>
    <n v="3"/>
    <n v="28756"/>
    <n v="86268"/>
    <d v="2024-01-29T00:00:00"/>
    <s v="normal sales"/>
    <s v="Jan"/>
  </r>
  <r>
    <s v="ORD8619"/>
    <s v="CUST960"/>
    <s v="Phone"/>
    <x v="0"/>
    <s v="West"/>
    <s v="Priya"/>
    <n v="1"/>
    <n v="40274"/>
    <n v="40274"/>
    <d v="2024-02-09T00:00:00"/>
    <s v="normal sales"/>
    <s v="Feb"/>
  </r>
  <r>
    <s v="ORD8385"/>
    <s v="CUST133"/>
    <s v="Tablet"/>
    <x v="1"/>
    <s v="North"/>
    <s v="Rahul"/>
    <n v="17"/>
    <n v="20292"/>
    <n v="344964"/>
    <d v="2024-02-13T00:00:00"/>
    <s v="high sales"/>
    <s v="Feb"/>
  </r>
  <r>
    <s v="ORD9292"/>
    <s v="CUST272"/>
    <s v="Phone"/>
    <x v="0"/>
    <s v="East"/>
    <s v="Priya"/>
    <n v="2"/>
    <n v="22703"/>
    <n v="45406"/>
    <d v="2024-02-19T00:00:00"/>
    <s v="normal sales"/>
    <s v="Feb"/>
  </r>
  <r>
    <s v="ORD5623"/>
    <s v="CUST909"/>
    <s v="Printer"/>
    <x v="0"/>
    <s v="East"/>
    <s v="Priya"/>
    <n v="3"/>
    <n v="31501"/>
    <n v="94503"/>
    <d v="2024-03-17T00:00:00"/>
    <s v="normal sales"/>
    <s v="Mar"/>
  </r>
  <r>
    <s v="ORD4918"/>
    <s v="CUST622"/>
    <s v="Laptop"/>
    <x v="2"/>
    <s v="East"/>
    <s v="Priya"/>
    <n v="5"/>
    <n v="36577"/>
    <n v="182885"/>
    <d v="2024-03-27T00:00:00"/>
    <s v="high sales"/>
    <s v="Mar"/>
  </r>
  <r>
    <s v="ORD7872"/>
    <s v="CUST850"/>
    <s v="Tablet"/>
    <x v="2"/>
    <s v="West"/>
    <s v="Priya"/>
    <n v="6"/>
    <n v="26082"/>
    <n v="156492"/>
    <d v="2024-04-02T00:00:00"/>
    <s v="high sales"/>
    <s v="Apr"/>
  </r>
  <r>
    <s v="ORD3343"/>
    <s v="CUST264"/>
    <s v="Phone"/>
    <x v="1"/>
    <s v="West"/>
    <s v="Rahul"/>
    <n v="16"/>
    <n v="40047"/>
    <n v="640752"/>
    <d v="2024-04-03T00:00:00"/>
    <s v="high sales"/>
    <s v="Apr"/>
  </r>
  <r>
    <s v="ORD5065"/>
    <s v="CUST736"/>
    <s v="Laptop"/>
    <x v="2"/>
    <s v="North"/>
    <s v="Priya"/>
    <n v="18"/>
    <n v="39266"/>
    <n v="706788"/>
    <d v="2024-04-07T00:00:00"/>
    <s v="high sales"/>
    <s v="Apr"/>
  </r>
  <r>
    <s v="ORD1840"/>
    <s v="CUST428"/>
    <s v="Phone"/>
    <x v="2"/>
    <s v="South"/>
    <s v="Rahul"/>
    <n v="16"/>
    <n v="35695"/>
    <n v="571120"/>
    <d v="2024-04-10T00:00:00"/>
    <s v="high sales"/>
    <s v="Apr"/>
  </r>
  <r>
    <s v="ORD1142"/>
    <s v="CUST749"/>
    <s v="Tablet"/>
    <x v="2"/>
    <s v="North"/>
    <s v="Priya"/>
    <n v="9"/>
    <n v="8683"/>
    <n v="78147"/>
    <d v="2024-04-28T00:00:00"/>
    <s v="normal sales"/>
    <s v="Apr"/>
  </r>
  <r>
    <s v="ORD8503"/>
    <s v="CUST132"/>
    <s v="Phone"/>
    <x v="1"/>
    <s v="West"/>
    <s v="Amit"/>
    <n v="2"/>
    <n v="11053"/>
    <n v="22106"/>
    <d v="2024-05-10T00:00:00"/>
    <s v="normal sales"/>
    <s v="May"/>
  </r>
  <r>
    <s v="ORD4719"/>
    <s v="CUST834"/>
    <s v="Monitor"/>
    <x v="2"/>
    <s v="North"/>
    <s v="Priya"/>
    <n v="20"/>
    <n v="3856"/>
    <n v="77120"/>
    <d v="2024-05-21T00:00:00"/>
    <s v="normal sales"/>
    <s v="May"/>
  </r>
  <r>
    <s v="ORD7650"/>
    <s v="CUST808"/>
    <s v="Monitor"/>
    <x v="0"/>
    <s v="West"/>
    <s v="Priya"/>
    <n v="2"/>
    <n v="7950"/>
    <n v="15900"/>
    <d v="2024-05-25T00:00:00"/>
    <s v="normal sales"/>
    <s v="May"/>
  </r>
  <r>
    <s v="ORD3908"/>
    <s v="CUST625"/>
    <s v="Tablet"/>
    <x v="0"/>
    <s v="North"/>
    <s v="Priya"/>
    <n v="19"/>
    <n v="19320"/>
    <n v="367080"/>
    <d v="2024-06-20T00:00:00"/>
    <s v="high sales"/>
    <s v="Jun"/>
  </r>
  <r>
    <s v="ORD1226"/>
    <s v="CUST566"/>
    <s v="Tablet"/>
    <x v="1"/>
    <s v="East"/>
    <s v="Neha"/>
    <n v="16"/>
    <n v="3963"/>
    <n v="63408"/>
    <d v="2024-06-22T00:00:00"/>
    <s v="normal sales"/>
    <s v="Jun"/>
  </r>
  <r>
    <s v="ORD6590"/>
    <s v="CUST418"/>
    <s v="Printer"/>
    <x v="0"/>
    <s v="East"/>
    <s v="Arjun"/>
    <n v="17"/>
    <n v="14526"/>
    <n v="246942"/>
    <d v="2024-06-23T00:00:00"/>
    <s v="high sales"/>
    <s v="Jun"/>
  </r>
  <r>
    <s v="ORD7970"/>
    <s v="CUST854"/>
    <s v="Monitor"/>
    <x v="0"/>
    <s v="North"/>
    <s v="Arjun"/>
    <n v="13"/>
    <n v="22473"/>
    <n v="292149"/>
    <d v="2024-07-09T00:00:00"/>
    <s v="high sales"/>
    <s v="Jul"/>
  </r>
  <r>
    <s v="ORD6904"/>
    <s v="CUST990"/>
    <s v="Printer"/>
    <x v="1"/>
    <s v="South"/>
    <s v="Arjun"/>
    <n v="8"/>
    <n v="11039"/>
    <n v="88312"/>
    <d v="2024-07-09T00:00:00"/>
    <s v="normal sales"/>
    <s v="Jul"/>
  </r>
  <r>
    <s v="ORD1337"/>
    <s v="CUST889"/>
    <s v="Laptop"/>
    <x v="2"/>
    <s v="North"/>
    <s v="Neha"/>
    <n v="5"/>
    <n v="7218"/>
    <n v="36090"/>
    <d v="2024-08-01T00:00:00"/>
    <s v="normal sales"/>
    <s v="Aug"/>
  </r>
  <r>
    <s v="ORD3206"/>
    <s v="CUST340"/>
    <s v="Laptop"/>
    <x v="2"/>
    <s v="North"/>
    <s v="Priya"/>
    <n v="16"/>
    <n v="6881"/>
    <n v="110096"/>
    <d v="2024-08-14T00:00:00"/>
    <s v="high sales"/>
    <s v="Aug"/>
  </r>
  <r>
    <s v="ORD8788"/>
    <s v="CUST316"/>
    <s v="Tablet"/>
    <x v="1"/>
    <s v="East"/>
    <s v="Priya"/>
    <n v="13"/>
    <n v="18431"/>
    <n v="239603"/>
    <d v="2024-08-16T00:00:00"/>
    <s v="high sales"/>
    <s v="Aug"/>
  </r>
  <r>
    <s v="ORD2861"/>
    <s v="CUST133"/>
    <s v="Tablet"/>
    <x v="2"/>
    <s v="East"/>
    <s v="Rahul"/>
    <n v="17"/>
    <n v="4507"/>
    <n v="76619"/>
    <d v="2024-08-20T00:00:00"/>
    <s v="normal sales"/>
    <s v="Aug"/>
  </r>
  <r>
    <s v="ORD9885"/>
    <s v="CUST331"/>
    <s v="Phone"/>
    <x v="0"/>
    <s v="East"/>
    <s v="Neha"/>
    <n v="4"/>
    <n v="29150"/>
    <n v="116600"/>
    <d v="2024-09-08T00:00:00"/>
    <s v="high sales"/>
    <s v="Sep"/>
  </r>
  <r>
    <s v="ORD9037"/>
    <s v="CUST471"/>
    <s v="Printer"/>
    <x v="2"/>
    <s v="West"/>
    <s v="Neha"/>
    <n v="8"/>
    <n v="11286"/>
    <n v="90288"/>
    <d v="2024-09-10T00:00:00"/>
    <s v="normal sales"/>
    <s v="Sep"/>
  </r>
  <r>
    <s v="ORD7646"/>
    <s v="CUST824"/>
    <s v="Phone"/>
    <x v="2"/>
    <s v="East"/>
    <s v="Rahul"/>
    <n v="8"/>
    <n v="49117"/>
    <n v="392936"/>
    <d v="2024-09-10T00:00:00"/>
    <s v="high sales"/>
    <s v="Sep"/>
  </r>
  <r>
    <s v="ORD8361"/>
    <s v="CUST973"/>
    <s v="Laptop"/>
    <x v="2"/>
    <s v="South"/>
    <s v="Arjun"/>
    <n v="12"/>
    <n v="36991"/>
    <n v="443892"/>
    <d v="2024-09-22T00:00:00"/>
    <s v="high sales"/>
    <s v="Sep"/>
  </r>
  <r>
    <s v="ORD1212"/>
    <s v="CUST251"/>
    <s v="Tablet"/>
    <x v="0"/>
    <s v="North"/>
    <s v="Amit"/>
    <n v="6"/>
    <n v="29635"/>
    <n v="177810"/>
    <d v="2024-09-29T00:00:00"/>
    <s v="high sales"/>
    <s v="Sep"/>
  </r>
  <r>
    <s v="ORD9130"/>
    <s v="CUST672"/>
    <s v="Monitor"/>
    <x v="0"/>
    <s v="South"/>
    <s v="Rahul"/>
    <n v="8"/>
    <n v="29418"/>
    <n v="235344"/>
    <d v="2024-10-04T00:00:00"/>
    <s v="high sales"/>
    <s v="Oct"/>
  </r>
  <r>
    <s v="ORD5302"/>
    <s v="CUST645"/>
    <s v="Laptop"/>
    <x v="1"/>
    <s v="East"/>
    <s v="Neha"/>
    <n v="18"/>
    <n v="18428"/>
    <n v="331704"/>
    <d v="2024-10-05T00:00:00"/>
    <s v="high sales"/>
    <s v="Oct"/>
  </r>
  <r>
    <s v="ORD2927"/>
    <s v="CUST254"/>
    <s v="Printer"/>
    <x v="2"/>
    <s v="East"/>
    <s v="Rahul"/>
    <n v="5"/>
    <n v="4053"/>
    <n v="20265"/>
    <d v="2024-10-08T00:00:00"/>
    <s v="normal sales"/>
    <s v="Oct"/>
  </r>
  <r>
    <s v="ORD9897"/>
    <s v="CUST226"/>
    <s v="Phone"/>
    <x v="0"/>
    <s v="East"/>
    <s v="Priya"/>
    <n v="9"/>
    <n v="29435"/>
    <n v="264915"/>
    <d v="2024-10-13T00:00:00"/>
    <s v="high sales"/>
    <s v="Oct"/>
  </r>
  <r>
    <s v="ORD2352"/>
    <s v="CUST743"/>
    <s v="Phone"/>
    <x v="1"/>
    <s v="South"/>
    <s v="Arjun"/>
    <n v="5"/>
    <n v="31907"/>
    <n v="159535"/>
    <d v="2024-10-28T00:00:00"/>
    <s v="high sales"/>
    <s v="Oct"/>
  </r>
  <r>
    <s v="ORD6179"/>
    <s v="CUST231"/>
    <s v="Tablet"/>
    <x v="2"/>
    <s v="North"/>
    <s v="Amit"/>
    <n v="3"/>
    <n v="35132"/>
    <n v="105396"/>
    <d v="2024-11-08T00:00:00"/>
    <s v="high sales"/>
    <s v="Nov"/>
  </r>
  <r>
    <s v="ORD2168"/>
    <s v="CUST304"/>
    <s v="Monitor"/>
    <x v="1"/>
    <s v="East"/>
    <s v="Priya"/>
    <n v="19"/>
    <n v="46520"/>
    <n v="883880"/>
    <d v="2024-11-12T00:00:00"/>
    <s v="high sales"/>
    <s v="Nov"/>
  </r>
  <r>
    <s v="ORD7430"/>
    <s v="CUST229"/>
    <s v="Monitor"/>
    <x v="0"/>
    <s v="East"/>
    <s v="Priya"/>
    <n v="12"/>
    <n v="31392"/>
    <n v="376704"/>
    <d v="2024-11-14T00:00:00"/>
    <s v="high sales"/>
    <s v="Nov"/>
  </r>
  <r>
    <s v="ORD1306"/>
    <s v="CUST962"/>
    <s v="Laptop"/>
    <x v="0"/>
    <s v="West"/>
    <s v="Amit"/>
    <n v="18"/>
    <n v="40322"/>
    <n v="725796"/>
    <d v="2024-11-14T00:00:00"/>
    <s v="high sales"/>
    <s v="Nov"/>
  </r>
  <r>
    <s v="ORD5542"/>
    <s v="CUST321"/>
    <s v="Printer"/>
    <x v="1"/>
    <s v="West"/>
    <s v="Neha"/>
    <n v="6"/>
    <n v="38468"/>
    <n v="230808"/>
    <d v="2024-11-21T00:00:00"/>
    <s v="high sales"/>
    <s v="Nov"/>
  </r>
  <r>
    <s v="ORD4314"/>
    <s v="CUST332"/>
    <s v="Laptop"/>
    <x v="1"/>
    <s v="South"/>
    <s v="Amit"/>
    <n v="10"/>
    <n v="23486"/>
    <n v="234860"/>
    <d v="2024-12-01T00:00:00"/>
    <s v="high sales"/>
    <s v="Dec"/>
  </r>
  <r>
    <s v="ORD2652"/>
    <s v="CUST993"/>
    <s v="Printer"/>
    <x v="2"/>
    <s v="East"/>
    <s v="Rahul"/>
    <n v="19"/>
    <n v="43865"/>
    <n v="833435"/>
    <d v="2024-12-02T00:00:00"/>
    <s v="high sales"/>
    <s v="Dec"/>
  </r>
  <r>
    <s v="ORD2304"/>
    <s v="CUST734"/>
    <s v="Monitor"/>
    <x v="1"/>
    <s v="North"/>
    <s v="Rahul"/>
    <n v="20"/>
    <n v="35257"/>
    <n v="705140"/>
    <d v="2024-12-03T00:00:00"/>
    <s v="high sales"/>
    <s v="Dec"/>
  </r>
  <r>
    <s v="ORD5051"/>
    <s v="CUST445"/>
    <s v="Laptop"/>
    <x v="0"/>
    <s v="East"/>
    <s v="Priya"/>
    <n v="5"/>
    <n v="29535"/>
    <n v="147675"/>
    <d v="2024-12-09T00:00:00"/>
    <s v="high sales"/>
    <s v="Dec"/>
  </r>
  <r>
    <s v="ORD2769"/>
    <s v="CUST165"/>
    <s v="Phone"/>
    <x v="2"/>
    <s v="East"/>
    <s v="Rahul"/>
    <n v="11"/>
    <n v="40640"/>
    <n v="447040"/>
    <d v="2024-12-19T00:00:00"/>
    <s v="high sales"/>
    <s v="Dec"/>
  </r>
  <r>
    <s v="ORD7350"/>
    <s v="CUST100"/>
    <s v="Laptop"/>
    <x v="1"/>
    <s v="South"/>
    <s v="Arjun"/>
    <n v="20"/>
    <n v="14396"/>
    <n v="287920"/>
    <d v="2024-12-27T00:00:00"/>
    <s v="high sales"/>
    <s v="Dec"/>
  </r>
  <r>
    <s v="ORD3765"/>
    <s v="CUST472"/>
    <s v="Laptop"/>
    <x v="2"/>
    <s v="North"/>
    <s v="Amit"/>
    <n v="4"/>
    <n v="18286"/>
    <n v="73144"/>
    <d v="2024-12-27T00:00:00"/>
    <s v="normal sales"/>
    <s v="Dec"/>
  </r>
  <r>
    <s v="ORD6388"/>
    <s v="CUST640"/>
    <s v="Phone"/>
    <x v="0"/>
    <s v="South"/>
    <s v="Amit"/>
    <n v="16"/>
    <n v="38605"/>
    <n v="617680"/>
    <d v="2025-01-11T00:00:00"/>
    <s v="high sales"/>
    <s v="Jan"/>
  </r>
  <r>
    <s v="ORD4802"/>
    <s v="CUST148"/>
    <s v="Laptop"/>
    <x v="1"/>
    <s v="West"/>
    <s v="Rahul"/>
    <n v="3"/>
    <n v="31572"/>
    <n v="94716"/>
    <d v="2025-01-19T00:00:00"/>
    <s v="normal sales"/>
    <s v="Jan"/>
  </r>
  <r>
    <s v="ORD7014"/>
    <s v="CUST514"/>
    <s v="Printer"/>
    <x v="0"/>
    <s v="South"/>
    <s v="Priya"/>
    <n v="2"/>
    <n v="2125"/>
    <n v="4250"/>
    <d v="2025-02-04T00:00:00"/>
    <s v="normal sales"/>
    <s v="Feb"/>
  </r>
  <r>
    <s v="ORD3341"/>
    <s v="CUST538"/>
    <s v="Tablet"/>
    <x v="2"/>
    <s v="East"/>
    <s v="Amit"/>
    <n v="12"/>
    <n v="18817"/>
    <n v="225804"/>
    <d v="2025-02-09T00:00:00"/>
    <s v="high sales"/>
    <s v="Feb"/>
  </r>
  <r>
    <s v="ORD8879"/>
    <s v="CUST786"/>
    <s v="Laptop"/>
    <x v="0"/>
    <s v="West"/>
    <s v="Priya"/>
    <n v="5"/>
    <n v="8681"/>
    <n v="43405"/>
    <d v="2025-02-17T00:00:00"/>
    <s v="normal sales"/>
    <s v="Feb"/>
  </r>
  <r>
    <s v="ORD6283"/>
    <s v="CUST514"/>
    <s v="Monitor"/>
    <x v="2"/>
    <s v="South"/>
    <s v="Neha"/>
    <n v="11"/>
    <n v="5666"/>
    <n v="62326"/>
    <d v="2025-02-28T00:00:00"/>
    <s v="normal sales"/>
    <s v="Feb"/>
  </r>
  <r>
    <s v="ORD9454"/>
    <s v="CUST459"/>
    <s v="Printer"/>
    <x v="0"/>
    <s v="North"/>
    <s v="Arjun"/>
    <n v="15"/>
    <n v="28130"/>
    <n v="421950"/>
    <d v="2025-03-18T00:00:00"/>
    <s v="high sales"/>
    <s v="Mar"/>
  </r>
  <r>
    <s v="ORD4558"/>
    <s v="CUST911"/>
    <s v="Tablet"/>
    <x v="1"/>
    <s v="West"/>
    <s v="Priya"/>
    <n v="12"/>
    <n v="39635"/>
    <n v="475620"/>
    <d v="2025-04-01T00:00:00"/>
    <s v="high sales"/>
    <s v="Apr"/>
  </r>
  <r>
    <s v="ORD9612"/>
    <s v="CUST785"/>
    <s v="Monitor"/>
    <x v="2"/>
    <s v="East"/>
    <s v="Arjun"/>
    <n v="6"/>
    <n v="5085"/>
    <n v="30510"/>
    <d v="2025-04-02T00:00:00"/>
    <s v="normal sales"/>
    <s v="Apr"/>
  </r>
  <r>
    <s v="ORD8144"/>
    <s v="CUST920"/>
    <s v="Phone"/>
    <x v="0"/>
    <s v="North"/>
    <s v="Neha"/>
    <n v="19"/>
    <n v="26106"/>
    <n v="496014"/>
    <d v="2025-04-07T00:00:00"/>
    <s v="high sales"/>
    <s v="Apr"/>
  </r>
  <r>
    <s v="ORD1587"/>
    <s v="CUST232"/>
    <s v="Tablet"/>
    <x v="1"/>
    <s v="South"/>
    <s v="Arjun"/>
    <n v="11"/>
    <n v="31741"/>
    <n v="349151"/>
    <d v="2025-04-08T00:00:00"/>
    <s v="high sales"/>
    <s v="Apr"/>
  </r>
  <r>
    <s v="ORD6183"/>
    <s v="CUST940"/>
    <s v="Tablet"/>
    <x v="1"/>
    <s v="East"/>
    <s v="Amit"/>
    <n v="19"/>
    <n v="11754"/>
    <n v="223326"/>
    <d v="2025-04-12T00:00:00"/>
    <s v="high sales"/>
    <s v="Apr"/>
  </r>
  <r>
    <s v="ORD7262"/>
    <s v="CUST968"/>
    <s v="Laptop"/>
    <x v="0"/>
    <s v="East"/>
    <s v="Amit"/>
    <n v="19"/>
    <n v="19677"/>
    <n v="373863"/>
    <d v="2025-04-14T00:00:00"/>
    <s v="high sales"/>
    <s v="Apr"/>
  </r>
  <r>
    <s v="ORD4227"/>
    <s v="CUST978"/>
    <s v="Phone"/>
    <x v="2"/>
    <s v="West"/>
    <s v="Amit"/>
    <n v="9"/>
    <n v="17026"/>
    <n v="153234"/>
    <d v="2025-04-26T00:00:00"/>
    <s v="high sales"/>
    <s v="Apr"/>
  </r>
  <r>
    <s v="ORD7775"/>
    <s v="CUST120"/>
    <s v="Phone"/>
    <x v="1"/>
    <s v="South"/>
    <s v="Rahul"/>
    <n v="8"/>
    <n v="44817"/>
    <n v="358536"/>
    <d v="2025-05-01T00:00:00"/>
    <s v="high sales"/>
    <s v="May"/>
  </r>
  <r>
    <s v="ORD4494"/>
    <s v="CUST806"/>
    <s v="Laptop"/>
    <x v="2"/>
    <s v="West"/>
    <s v="Priya"/>
    <n v="1"/>
    <n v="39725"/>
    <n v="39725"/>
    <d v="2025-05-08T00:00:00"/>
    <s v="normal sales"/>
    <s v="May"/>
  </r>
  <r>
    <s v="ORD4317"/>
    <s v="CUST285"/>
    <s v="Tablet"/>
    <x v="1"/>
    <s v="South"/>
    <s v="Arjun"/>
    <n v="16"/>
    <n v="31170"/>
    <n v="498720"/>
    <d v="2025-05-10T00:00:00"/>
    <s v="high sales"/>
    <s v="May"/>
  </r>
  <r>
    <s v="ORD6707"/>
    <s v="CUST238"/>
    <s v="Monitor"/>
    <x v="1"/>
    <s v="East"/>
    <s v="Arjun"/>
    <n v="18"/>
    <n v="5697"/>
    <n v="102546"/>
    <d v="2025-05-17T00:00:00"/>
    <s v="high sales"/>
    <s v="May"/>
  </r>
  <r>
    <s v="ORD5838"/>
    <s v="CUST837"/>
    <s v="Laptop"/>
    <x v="2"/>
    <s v="South"/>
    <s v="Neha"/>
    <n v="20"/>
    <n v="11971"/>
    <n v="239420"/>
    <d v="2025-05-21T00:00:00"/>
    <s v="high sales"/>
    <s v="May"/>
  </r>
  <r>
    <s v="ORD7330"/>
    <s v="CUST562"/>
    <s v="Printer"/>
    <x v="0"/>
    <s v="North"/>
    <s v="Amit"/>
    <n v="3"/>
    <n v="2639"/>
    <n v="7917"/>
    <d v="2025-05-26T00:00:00"/>
    <s v="normal sales"/>
    <s v="May"/>
  </r>
  <r>
    <s v="ORD6951"/>
    <s v="CUST498"/>
    <s v="Phone"/>
    <x v="2"/>
    <s v="North"/>
    <s v="Amit"/>
    <n v="6"/>
    <n v="16890"/>
    <n v="101340"/>
    <d v="2025-06-09T00:00:00"/>
    <s v="high sales"/>
    <s v="Jun"/>
  </r>
  <r>
    <s v="ORD5154"/>
    <s v="CUST873"/>
    <s v="Phone"/>
    <x v="0"/>
    <s v="West"/>
    <s v="Neha"/>
    <n v="18"/>
    <n v="31132"/>
    <n v="560376"/>
    <d v="2025-06-28T00:00:00"/>
    <s v="high sales"/>
    <s v="Jun"/>
  </r>
  <r>
    <s v="ORD4237"/>
    <s v="CUST216"/>
    <s v="Monitor"/>
    <x v="0"/>
    <s v="East"/>
    <s v="Neha"/>
    <n v="5"/>
    <n v="6881"/>
    <n v="34405"/>
    <d v="2025-06-29T00:00:00"/>
    <s v="normal sales"/>
    <s v="Jun"/>
  </r>
  <r>
    <s v="ORD3940"/>
    <s v="CUST271"/>
    <s v="Phone"/>
    <x v="0"/>
    <s v="West"/>
    <s v="Neha"/>
    <n v="18"/>
    <n v="30279"/>
    <n v="545022"/>
    <d v="2025-07-06T00:00:00"/>
    <s v="high sales"/>
    <s v="Jul"/>
  </r>
  <r>
    <s v="ORD9580"/>
    <s v="CUST236"/>
    <s v="Printer"/>
    <x v="2"/>
    <s v="East"/>
    <s v="Arjun"/>
    <n v="15"/>
    <n v="35161"/>
    <n v="527415"/>
    <d v="2025-07-07T00:00:00"/>
    <s v="high sales"/>
    <s v="Jul"/>
  </r>
  <r>
    <s v="ORD4410"/>
    <s v="CUST212"/>
    <s v="Printer"/>
    <x v="2"/>
    <s v="West"/>
    <s v="Rahul"/>
    <n v="5"/>
    <n v="22266"/>
    <n v="111330"/>
    <d v="2025-07-10T00:00:00"/>
    <s v="high sales"/>
    <s v="Jul"/>
  </r>
  <r>
    <s v="ORD6856"/>
    <s v="CUST442"/>
    <s v="Monitor"/>
    <x v="0"/>
    <s v="West"/>
    <s v="Neha"/>
    <n v="8"/>
    <n v="11058"/>
    <n v="88464"/>
    <d v="2025-07-13T00:00:00"/>
    <s v="normal sales"/>
    <s v="Jul"/>
  </r>
  <r>
    <s v="ORD4183"/>
    <s v="CUST884"/>
    <s v="Monitor"/>
    <x v="1"/>
    <s v="North"/>
    <s v="Arjun"/>
    <n v="14"/>
    <n v="14747"/>
    <n v="206458"/>
    <d v="2025-08-05T00:00:00"/>
    <s v="high sales"/>
    <s v="Aug"/>
  </r>
  <r>
    <s v="ORD8072"/>
    <s v="CUST988"/>
    <s v="Tablet"/>
    <x v="0"/>
    <s v="East"/>
    <s v="Arjun"/>
    <n v="17"/>
    <n v="37326"/>
    <n v="634542"/>
    <d v="2025-08-09T00:00:00"/>
    <s v="high sales"/>
    <s v="Aug"/>
  </r>
  <r>
    <s v="ORD2493"/>
    <s v="CUST447"/>
    <s v="Laptop"/>
    <x v="1"/>
    <s v="East"/>
    <s v="Neha"/>
    <n v="20"/>
    <n v="31347"/>
    <n v="626940"/>
    <d v="2025-08-11T00:00:00"/>
    <s v="high sales"/>
    <s v="Aug"/>
  </r>
  <r>
    <s v="ORD8992"/>
    <s v="CUST124"/>
    <s v="Monitor"/>
    <x v="2"/>
    <s v="East"/>
    <s v="Rahul"/>
    <n v="10"/>
    <n v="9543"/>
    <n v="95430"/>
    <d v="2025-08-15T00:00:00"/>
    <s v="normal sales"/>
    <s v="Aug"/>
  </r>
  <r>
    <s v="ORD4014"/>
    <s v="CUST903"/>
    <s v="Laptop"/>
    <x v="0"/>
    <s v="West"/>
    <s v="Amit"/>
    <n v="8"/>
    <n v="14116"/>
    <n v="112928"/>
    <d v="2025-08-15T00:00:00"/>
    <s v="high sales"/>
    <s v="Aug"/>
  </r>
  <r>
    <s v="ORD2452"/>
    <s v="CUST274"/>
    <s v="Printer"/>
    <x v="1"/>
    <s v="West"/>
    <s v="Rahul"/>
    <n v="16"/>
    <n v="15281"/>
    <n v="244496"/>
    <d v="2025-08-22T00:00:00"/>
    <s v="high sales"/>
    <s v="Aug"/>
  </r>
  <r>
    <s v="ORD3129"/>
    <s v="CUST672"/>
    <s v="Printer"/>
    <x v="1"/>
    <s v="North"/>
    <s v="Arjun"/>
    <n v="11"/>
    <n v="28357"/>
    <n v="311927"/>
    <d v="2025-08-31T00:00:00"/>
    <s v="high sales"/>
    <s v="Aug"/>
  </r>
  <r>
    <s v="ORD1812"/>
    <s v="CUST599"/>
    <s v="Laptop"/>
    <x v="2"/>
    <s v="North"/>
    <s v="Rahul"/>
    <n v="17"/>
    <n v="21740"/>
    <n v="369580"/>
    <d v="2025-09-03T00:00:00"/>
    <s v="high sales"/>
    <s v="Sep"/>
  </r>
  <r>
    <s v="ORD1177"/>
    <s v="CUST111"/>
    <s v="Printer"/>
    <x v="1"/>
    <s v="East"/>
    <s v="Priya"/>
    <n v="19"/>
    <n v="40762"/>
    <n v="774478"/>
    <d v="2025-09-05T00:00:00"/>
    <s v="high sales"/>
    <s v="Sep"/>
  </r>
  <r>
    <s v="ORD1394"/>
    <s v="CUST795"/>
    <s v="Laptop"/>
    <x v="1"/>
    <s v="West"/>
    <s v="Priya"/>
    <n v="5"/>
    <n v="10742"/>
    <n v="53710"/>
    <d v="2025-09-13T00:00:00"/>
    <s v="normal sales"/>
    <s v="Sep"/>
  </r>
  <r>
    <s v="ORD4076"/>
    <s v="CUST234"/>
    <s v="Printer"/>
    <x v="0"/>
    <s v="South"/>
    <s v="Amit"/>
    <n v="18"/>
    <n v="40787"/>
    <n v="734166"/>
    <d v="2025-09-26T00:00:00"/>
    <s v="high sales"/>
    <s v="Sep"/>
  </r>
  <r>
    <s v="ORD9419"/>
    <s v="CUST446"/>
    <s v="Tablet"/>
    <x v="0"/>
    <s v="East"/>
    <s v="Neha"/>
    <n v="18"/>
    <n v="7182"/>
    <n v="129276"/>
    <d v="2025-09-28T00:00:00"/>
    <s v="high sales"/>
    <s v="Sep"/>
  </r>
  <r>
    <s v="ORD6347"/>
    <s v="CUST556"/>
    <s v="Phone"/>
    <x v="1"/>
    <s v="West"/>
    <s v="Neha"/>
    <n v="20"/>
    <n v="4438"/>
    <n v="88760"/>
    <d v="2025-09-29T00:00:00"/>
    <s v="normal sales"/>
    <s v="Sep"/>
  </r>
  <r>
    <s v="ORD5443"/>
    <s v="CUST872"/>
    <s v="Monitor"/>
    <x v="2"/>
    <s v="North"/>
    <s v="Arjun"/>
    <n v="5"/>
    <n v="22204"/>
    <n v="111020"/>
    <d v="2025-10-02T00:00:00"/>
    <s v="high sales"/>
    <s v="Oct"/>
  </r>
  <r>
    <s v="ORD7723"/>
    <s v="CUST778"/>
    <s v="Laptop"/>
    <x v="2"/>
    <s v="South"/>
    <s v="Amit"/>
    <n v="16"/>
    <n v="19682"/>
    <n v="314912"/>
    <d v="2025-10-12T00:00:00"/>
    <s v="high sales"/>
    <s v="Oct"/>
  </r>
  <r>
    <s v="ORD7957"/>
    <s v="CUST124"/>
    <s v="Monitor"/>
    <x v="1"/>
    <s v="North"/>
    <s v="Priya"/>
    <n v="14"/>
    <n v="48991"/>
    <n v="685874"/>
    <d v="2025-10-14T00:00:00"/>
    <s v="high sales"/>
    <s v="Oct"/>
  </r>
  <r>
    <s v="ORD3032"/>
    <s v="CUST620"/>
    <s v="Monitor"/>
    <x v="2"/>
    <s v="East"/>
    <s v="Amit"/>
    <n v="12"/>
    <n v="33216"/>
    <n v="398592"/>
    <d v="2025-10-21T00:00:00"/>
    <s v="high sales"/>
    <s v="Oct"/>
  </r>
  <r>
    <s v="ORD7079"/>
    <s v="CUST635"/>
    <s v="Laptop"/>
    <x v="0"/>
    <s v="West"/>
    <s v="Neha"/>
    <n v="16"/>
    <n v="34698"/>
    <n v="555168"/>
    <d v="2025-11-16T00:00:00"/>
    <s v="high sales"/>
    <s v="Nov"/>
  </r>
  <r>
    <s v="ORD7841"/>
    <s v="CUST853"/>
    <s v="Tablet"/>
    <x v="2"/>
    <s v="West"/>
    <s v="Amit"/>
    <n v="13"/>
    <n v="48946"/>
    <n v="636298"/>
    <d v="2025-11-20T00:00:00"/>
    <s v="high sales"/>
    <s v="Nov"/>
  </r>
  <r>
    <s v="ORD6141"/>
    <s v="CUST318"/>
    <s v="Laptop"/>
    <x v="0"/>
    <s v="East"/>
    <s v="Arjun"/>
    <n v="18"/>
    <n v="27447"/>
    <n v="494046"/>
    <d v="2025-11-21T00:00:00"/>
    <s v="high sales"/>
    <s v="Nov"/>
  </r>
  <r>
    <s v="ORD8847"/>
    <s v="CUST738"/>
    <s v="Monitor"/>
    <x v="0"/>
    <s v="East"/>
    <s v="Arjun"/>
    <n v="14"/>
    <n v="11282"/>
    <n v="157948"/>
    <d v="2025-11-28T00:00:00"/>
    <s v="high sales"/>
    <s v="Nov"/>
  </r>
  <r>
    <s v="ORD7078"/>
    <s v="CUST477"/>
    <s v="Phone"/>
    <x v="0"/>
    <s v="West"/>
    <s v="Rahul"/>
    <n v="4"/>
    <n v="15613"/>
    <n v="62452"/>
    <d v="2025-12-04T00:00:00"/>
    <s v="normal sales"/>
    <s v="Dec"/>
  </r>
  <r>
    <s v="ORD7397"/>
    <s v="CUST280"/>
    <s v="Printer"/>
    <x v="2"/>
    <s v="North"/>
    <s v="Arjun"/>
    <n v="7"/>
    <n v="29875"/>
    <n v="209125"/>
    <d v="2025-12-26T00:00:00"/>
    <s v="high sales"/>
    <s v="Dec"/>
  </r>
  <r>
    <s v="ORD2867"/>
    <s v="CUST498"/>
    <s v="Laptop"/>
    <x v="0"/>
    <s v="South"/>
    <s v="Neha"/>
    <n v="13"/>
    <n v="2639"/>
    <n v="34307"/>
    <d v="2025-12-31T00:00:00"/>
    <s v="normal sales"/>
    <s v="Dec"/>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ORD8660"/>
    <s v="CUST143"/>
    <s v="Monitor"/>
    <x v="0"/>
    <x v="0"/>
    <x v="0"/>
    <n v="8"/>
    <n v="23876"/>
    <n v="191008"/>
    <x v="0"/>
    <s v="high sales"/>
  </r>
  <r>
    <s v="ORD3640"/>
    <s v="CUST887"/>
    <s v="Tablet"/>
    <x v="1"/>
    <x v="1"/>
    <x v="1"/>
    <n v="18"/>
    <n v="39851"/>
    <n v="717318"/>
    <x v="1"/>
    <s v="high sales"/>
  </r>
  <r>
    <s v="ORD9305"/>
    <s v="CUST922"/>
    <s v="Printer"/>
    <x v="2"/>
    <x v="0"/>
    <x v="1"/>
    <n v="18"/>
    <n v="17241"/>
    <n v="310338"/>
    <x v="2"/>
    <s v="high sales"/>
  </r>
  <r>
    <s v="ORD3486"/>
    <s v="CUST899"/>
    <s v="Monitor"/>
    <x v="1"/>
    <x v="0"/>
    <x v="1"/>
    <n v="3"/>
    <n v="28756"/>
    <n v="86268"/>
    <x v="3"/>
    <s v="normal sales"/>
  </r>
  <r>
    <s v="ORD8619"/>
    <s v="CUST960"/>
    <s v="Phone"/>
    <x v="0"/>
    <x v="2"/>
    <x v="2"/>
    <n v="1"/>
    <n v="40274"/>
    <n v="40274"/>
    <x v="4"/>
    <s v="normal sales"/>
  </r>
  <r>
    <s v="ORD8385"/>
    <s v="CUST133"/>
    <s v="Tablet"/>
    <x v="1"/>
    <x v="1"/>
    <x v="0"/>
    <n v="17"/>
    <n v="20292"/>
    <n v="344964"/>
    <x v="5"/>
    <s v="high sales"/>
  </r>
  <r>
    <s v="ORD9292"/>
    <s v="CUST272"/>
    <s v="Phone"/>
    <x v="0"/>
    <x v="0"/>
    <x v="2"/>
    <n v="2"/>
    <n v="22703"/>
    <n v="45406"/>
    <x v="6"/>
    <s v="normal sales"/>
  </r>
  <r>
    <s v="ORD5623"/>
    <s v="CUST909"/>
    <s v="Printer"/>
    <x v="0"/>
    <x v="0"/>
    <x v="2"/>
    <n v="3"/>
    <n v="31501"/>
    <n v="94503"/>
    <x v="7"/>
    <s v="normal sales"/>
  </r>
  <r>
    <s v="ORD4918"/>
    <s v="CUST622"/>
    <s v="Laptop"/>
    <x v="2"/>
    <x v="0"/>
    <x v="2"/>
    <n v="5"/>
    <n v="36577"/>
    <n v="182885"/>
    <x v="8"/>
    <s v="high sales"/>
  </r>
  <r>
    <s v="ORD7872"/>
    <s v="CUST850"/>
    <s v="Tablet"/>
    <x v="2"/>
    <x v="2"/>
    <x v="2"/>
    <n v="6"/>
    <n v="26082"/>
    <n v="156492"/>
    <x v="9"/>
    <s v="high sales"/>
  </r>
  <r>
    <s v="ORD3343"/>
    <s v="CUST264"/>
    <s v="Phone"/>
    <x v="1"/>
    <x v="2"/>
    <x v="0"/>
    <n v="16"/>
    <n v="40047"/>
    <n v="640752"/>
    <x v="10"/>
    <s v="high sales"/>
  </r>
  <r>
    <s v="ORD5065"/>
    <s v="CUST736"/>
    <s v="Laptop"/>
    <x v="2"/>
    <x v="1"/>
    <x v="2"/>
    <n v="18"/>
    <n v="39266"/>
    <n v="706788"/>
    <x v="11"/>
    <s v="high sales"/>
  </r>
  <r>
    <s v="ORD1840"/>
    <s v="CUST428"/>
    <s v="Phone"/>
    <x v="2"/>
    <x v="3"/>
    <x v="0"/>
    <n v="16"/>
    <n v="35695"/>
    <n v="571120"/>
    <x v="12"/>
    <s v="high sales"/>
  </r>
  <r>
    <s v="ORD1142"/>
    <s v="CUST749"/>
    <s v="Tablet"/>
    <x v="2"/>
    <x v="1"/>
    <x v="2"/>
    <n v="9"/>
    <n v="8683"/>
    <n v="78147"/>
    <x v="13"/>
    <s v="normal sales"/>
  </r>
  <r>
    <s v="ORD8503"/>
    <s v="CUST132"/>
    <s v="Phone"/>
    <x v="1"/>
    <x v="2"/>
    <x v="3"/>
    <n v="2"/>
    <n v="11053"/>
    <n v="22106"/>
    <x v="14"/>
    <s v="normal sales"/>
  </r>
  <r>
    <s v="ORD4719"/>
    <s v="CUST834"/>
    <s v="Monitor"/>
    <x v="2"/>
    <x v="1"/>
    <x v="2"/>
    <n v="20"/>
    <n v="3856"/>
    <n v="77120"/>
    <x v="15"/>
    <s v="normal sales"/>
  </r>
  <r>
    <s v="ORD7650"/>
    <s v="CUST808"/>
    <s v="Monitor"/>
    <x v="0"/>
    <x v="2"/>
    <x v="2"/>
    <n v="2"/>
    <n v="7950"/>
    <n v="15900"/>
    <x v="16"/>
    <s v="normal sales"/>
  </r>
  <r>
    <s v="ORD3908"/>
    <s v="CUST625"/>
    <s v="Tablet"/>
    <x v="0"/>
    <x v="1"/>
    <x v="2"/>
    <n v="19"/>
    <n v="19320"/>
    <n v="367080"/>
    <x v="17"/>
    <s v="high sales"/>
  </r>
  <r>
    <s v="ORD1226"/>
    <s v="CUST566"/>
    <s v="Tablet"/>
    <x v="1"/>
    <x v="0"/>
    <x v="1"/>
    <n v="16"/>
    <n v="3963"/>
    <n v="63408"/>
    <x v="18"/>
    <s v="normal sales"/>
  </r>
  <r>
    <s v="ORD6590"/>
    <s v="CUST418"/>
    <s v="Printer"/>
    <x v="0"/>
    <x v="0"/>
    <x v="4"/>
    <n v="17"/>
    <n v="14526"/>
    <n v="246942"/>
    <x v="19"/>
    <s v="high sales"/>
  </r>
  <r>
    <s v="ORD7970"/>
    <s v="CUST854"/>
    <s v="Monitor"/>
    <x v="0"/>
    <x v="1"/>
    <x v="4"/>
    <n v="13"/>
    <n v="22473"/>
    <n v="292149"/>
    <x v="20"/>
    <s v="high sales"/>
  </r>
  <r>
    <s v="ORD6904"/>
    <s v="CUST990"/>
    <s v="Printer"/>
    <x v="1"/>
    <x v="3"/>
    <x v="4"/>
    <n v="8"/>
    <n v="11039"/>
    <n v="88312"/>
    <x v="20"/>
    <s v="normal sales"/>
  </r>
  <r>
    <s v="ORD1337"/>
    <s v="CUST889"/>
    <s v="Laptop"/>
    <x v="2"/>
    <x v="1"/>
    <x v="1"/>
    <n v="5"/>
    <n v="7218"/>
    <n v="36090"/>
    <x v="21"/>
    <s v="normal sales"/>
  </r>
  <r>
    <s v="ORD3206"/>
    <s v="CUST340"/>
    <s v="Laptop"/>
    <x v="2"/>
    <x v="1"/>
    <x v="2"/>
    <n v="16"/>
    <n v="6881"/>
    <n v="110096"/>
    <x v="22"/>
    <s v="high sales"/>
  </r>
  <r>
    <s v="ORD8788"/>
    <s v="CUST316"/>
    <s v="Tablet"/>
    <x v="1"/>
    <x v="0"/>
    <x v="2"/>
    <n v="13"/>
    <n v="18431"/>
    <n v="239603"/>
    <x v="23"/>
    <s v="high sales"/>
  </r>
  <r>
    <s v="ORD2861"/>
    <s v="CUST133"/>
    <s v="Tablet"/>
    <x v="2"/>
    <x v="0"/>
    <x v="0"/>
    <n v="17"/>
    <n v="4507"/>
    <n v="76619"/>
    <x v="24"/>
    <s v="normal sales"/>
  </r>
  <r>
    <s v="ORD9885"/>
    <s v="CUST331"/>
    <s v="Phone"/>
    <x v="0"/>
    <x v="0"/>
    <x v="1"/>
    <n v="4"/>
    <n v="29150"/>
    <n v="116600"/>
    <x v="25"/>
    <s v="high sales"/>
  </r>
  <r>
    <s v="ORD9037"/>
    <s v="CUST471"/>
    <s v="Printer"/>
    <x v="2"/>
    <x v="2"/>
    <x v="1"/>
    <n v="8"/>
    <n v="11286"/>
    <n v="90288"/>
    <x v="26"/>
    <s v="normal sales"/>
  </r>
  <r>
    <s v="ORD7646"/>
    <s v="CUST824"/>
    <s v="Phone"/>
    <x v="2"/>
    <x v="0"/>
    <x v="0"/>
    <n v="8"/>
    <n v="49117"/>
    <n v="392936"/>
    <x v="26"/>
    <s v="high sales"/>
  </r>
  <r>
    <s v="ORD8361"/>
    <s v="CUST973"/>
    <s v="Laptop"/>
    <x v="2"/>
    <x v="3"/>
    <x v="4"/>
    <n v="12"/>
    <n v="36991"/>
    <n v="443892"/>
    <x v="27"/>
    <s v="high sales"/>
  </r>
  <r>
    <s v="ORD1212"/>
    <s v="CUST251"/>
    <s v="Tablet"/>
    <x v="0"/>
    <x v="1"/>
    <x v="3"/>
    <n v="6"/>
    <n v="29635"/>
    <n v="177810"/>
    <x v="28"/>
    <s v="high sales"/>
  </r>
  <r>
    <s v="ORD9130"/>
    <s v="CUST672"/>
    <s v="Monitor"/>
    <x v="0"/>
    <x v="3"/>
    <x v="0"/>
    <n v="8"/>
    <n v="29418"/>
    <n v="235344"/>
    <x v="29"/>
    <s v="high sales"/>
  </r>
  <r>
    <s v="ORD5302"/>
    <s v="CUST645"/>
    <s v="Laptop"/>
    <x v="1"/>
    <x v="0"/>
    <x v="1"/>
    <n v="18"/>
    <n v="18428"/>
    <n v="331704"/>
    <x v="30"/>
    <s v="high sales"/>
  </r>
  <r>
    <s v="ORD2927"/>
    <s v="CUST254"/>
    <s v="Printer"/>
    <x v="2"/>
    <x v="0"/>
    <x v="0"/>
    <n v="5"/>
    <n v="4053"/>
    <n v="20265"/>
    <x v="31"/>
    <s v="normal sales"/>
  </r>
  <r>
    <s v="ORD9897"/>
    <s v="CUST226"/>
    <s v="Phone"/>
    <x v="0"/>
    <x v="0"/>
    <x v="2"/>
    <n v="9"/>
    <n v="29435"/>
    <n v="264915"/>
    <x v="32"/>
    <s v="high sales"/>
  </r>
  <r>
    <s v="ORD2352"/>
    <s v="CUST743"/>
    <s v="Phone"/>
    <x v="1"/>
    <x v="3"/>
    <x v="4"/>
    <n v="5"/>
    <n v="31907"/>
    <n v="159535"/>
    <x v="33"/>
    <s v="high sales"/>
  </r>
  <r>
    <s v="ORD6179"/>
    <s v="CUST231"/>
    <s v="Tablet"/>
    <x v="2"/>
    <x v="1"/>
    <x v="3"/>
    <n v="3"/>
    <n v="35132"/>
    <n v="105396"/>
    <x v="34"/>
    <s v="high sales"/>
  </r>
  <r>
    <s v="ORD2168"/>
    <s v="CUST304"/>
    <s v="Monitor"/>
    <x v="1"/>
    <x v="0"/>
    <x v="2"/>
    <n v="19"/>
    <n v="46520"/>
    <n v="883880"/>
    <x v="35"/>
    <s v="high sales"/>
  </r>
  <r>
    <s v="ORD7430"/>
    <s v="CUST229"/>
    <s v="Monitor"/>
    <x v="0"/>
    <x v="0"/>
    <x v="2"/>
    <n v="12"/>
    <n v="31392"/>
    <n v="376704"/>
    <x v="36"/>
    <s v="high sales"/>
  </r>
  <r>
    <s v="ORD1306"/>
    <s v="CUST962"/>
    <s v="Laptop"/>
    <x v="0"/>
    <x v="2"/>
    <x v="3"/>
    <n v="18"/>
    <n v="40322"/>
    <n v="725796"/>
    <x v="36"/>
    <s v="high sales"/>
  </r>
  <r>
    <s v="ORD5542"/>
    <s v="CUST321"/>
    <s v="Printer"/>
    <x v="1"/>
    <x v="2"/>
    <x v="1"/>
    <n v="6"/>
    <n v="38468"/>
    <n v="230808"/>
    <x v="37"/>
    <s v="high sales"/>
  </r>
  <r>
    <s v="ORD4314"/>
    <s v="CUST332"/>
    <s v="Laptop"/>
    <x v="1"/>
    <x v="3"/>
    <x v="3"/>
    <n v="10"/>
    <n v="23486"/>
    <n v="234860"/>
    <x v="38"/>
    <s v="high sales"/>
  </r>
  <r>
    <s v="ORD2652"/>
    <s v="CUST993"/>
    <s v="Printer"/>
    <x v="2"/>
    <x v="0"/>
    <x v="0"/>
    <n v="19"/>
    <n v="43865"/>
    <n v="833435"/>
    <x v="39"/>
    <s v="high sales"/>
  </r>
  <r>
    <s v="ORD2304"/>
    <s v="CUST734"/>
    <s v="Monitor"/>
    <x v="1"/>
    <x v="1"/>
    <x v="0"/>
    <n v="20"/>
    <n v="35257"/>
    <n v="705140"/>
    <x v="40"/>
    <s v="high sales"/>
  </r>
  <r>
    <s v="ORD5051"/>
    <s v="CUST445"/>
    <s v="Laptop"/>
    <x v="0"/>
    <x v="0"/>
    <x v="2"/>
    <n v="5"/>
    <n v="29535"/>
    <n v="147675"/>
    <x v="41"/>
    <s v="high sales"/>
  </r>
  <r>
    <s v="ORD2769"/>
    <s v="CUST165"/>
    <s v="Phone"/>
    <x v="2"/>
    <x v="0"/>
    <x v="0"/>
    <n v="11"/>
    <n v="40640"/>
    <n v="447040"/>
    <x v="42"/>
    <s v="high sales"/>
  </r>
  <r>
    <s v="ORD7350"/>
    <s v="CUST100"/>
    <s v="Laptop"/>
    <x v="1"/>
    <x v="3"/>
    <x v="4"/>
    <n v="20"/>
    <n v="14396"/>
    <n v="287920"/>
    <x v="43"/>
    <s v="high sales"/>
  </r>
  <r>
    <s v="ORD3765"/>
    <s v="CUST472"/>
    <s v="Laptop"/>
    <x v="2"/>
    <x v="1"/>
    <x v="3"/>
    <n v="4"/>
    <n v="18286"/>
    <n v="73144"/>
    <x v="43"/>
    <s v="normal sales"/>
  </r>
  <r>
    <s v="ORD6388"/>
    <s v="CUST640"/>
    <s v="Phone"/>
    <x v="0"/>
    <x v="3"/>
    <x v="3"/>
    <n v="16"/>
    <n v="38605"/>
    <n v="617680"/>
    <x v="44"/>
    <s v="high sales"/>
  </r>
  <r>
    <s v="ORD4802"/>
    <s v="CUST148"/>
    <s v="Laptop"/>
    <x v="1"/>
    <x v="2"/>
    <x v="0"/>
    <n v="3"/>
    <n v="31572"/>
    <n v="94716"/>
    <x v="45"/>
    <s v="normal sales"/>
  </r>
  <r>
    <s v="ORD7014"/>
    <s v="CUST514"/>
    <s v="Printer"/>
    <x v="0"/>
    <x v="3"/>
    <x v="2"/>
    <n v="2"/>
    <n v="2125"/>
    <n v="4250"/>
    <x v="46"/>
    <s v="normal sales"/>
  </r>
  <r>
    <s v="ORD3341"/>
    <s v="CUST538"/>
    <s v="Tablet"/>
    <x v="2"/>
    <x v="0"/>
    <x v="3"/>
    <n v="12"/>
    <n v="18817"/>
    <n v="225804"/>
    <x v="47"/>
    <s v="high sales"/>
  </r>
  <r>
    <s v="ORD8879"/>
    <s v="CUST786"/>
    <s v="Laptop"/>
    <x v="0"/>
    <x v="2"/>
    <x v="2"/>
    <n v="5"/>
    <n v="8681"/>
    <n v="43405"/>
    <x v="48"/>
    <s v="normal sales"/>
  </r>
  <r>
    <s v="ORD6283"/>
    <s v="CUST514"/>
    <s v="Monitor"/>
    <x v="2"/>
    <x v="3"/>
    <x v="1"/>
    <n v="11"/>
    <n v="5666"/>
    <n v="62326"/>
    <x v="49"/>
    <s v="normal sales"/>
  </r>
  <r>
    <s v="ORD9454"/>
    <s v="CUST459"/>
    <s v="Printer"/>
    <x v="0"/>
    <x v="1"/>
    <x v="4"/>
    <n v="15"/>
    <n v="28130"/>
    <n v="421950"/>
    <x v="50"/>
    <s v="high sales"/>
  </r>
  <r>
    <s v="ORD4558"/>
    <s v="CUST911"/>
    <s v="Tablet"/>
    <x v="1"/>
    <x v="2"/>
    <x v="2"/>
    <n v="12"/>
    <n v="39635"/>
    <n v="475620"/>
    <x v="51"/>
    <s v="high sales"/>
  </r>
  <r>
    <s v="ORD9612"/>
    <s v="CUST785"/>
    <s v="Monitor"/>
    <x v="2"/>
    <x v="0"/>
    <x v="4"/>
    <n v="6"/>
    <n v="5085"/>
    <n v="30510"/>
    <x v="52"/>
    <s v="normal sales"/>
  </r>
  <r>
    <s v="ORD8144"/>
    <s v="CUST920"/>
    <s v="Phone"/>
    <x v="0"/>
    <x v="1"/>
    <x v="1"/>
    <n v="19"/>
    <n v="26106"/>
    <n v="496014"/>
    <x v="53"/>
    <s v="high sales"/>
  </r>
  <r>
    <s v="ORD1587"/>
    <s v="CUST232"/>
    <s v="Tablet"/>
    <x v="1"/>
    <x v="3"/>
    <x v="4"/>
    <n v="11"/>
    <n v="31741"/>
    <n v="349151"/>
    <x v="54"/>
    <s v="high sales"/>
  </r>
  <r>
    <s v="ORD6183"/>
    <s v="CUST940"/>
    <s v="Tablet"/>
    <x v="1"/>
    <x v="0"/>
    <x v="3"/>
    <n v="19"/>
    <n v="11754"/>
    <n v="223326"/>
    <x v="55"/>
    <s v="high sales"/>
  </r>
  <r>
    <s v="ORD7262"/>
    <s v="CUST968"/>
    <s v="Laptop"/>
    <x v="0"/>
    <x v="0"/>
    <x v="3"/>
    <n v="19"/>
    <n v="19677"/>
    <n v="373863"/>
    <x v="56"/>
    <s v="high sales"/>
  </r>
  <r>
    <s v="ORD4227"/>
    <s v="CUST978"/>
    <s v="Phone"/>
    <x v="2"/>
    <x v="2"/>
    <x v="3"/>
    <n v="9"/>
    <n v="17026"/>
    <n v="153234"/>
    <x v="57"/>
    <s v="high sales"/>
  </r>
  <r>
    <s v="ORD7775"/>
    <s v="CUST120"/>
    <s v="Phone"/>
    <x v="1"/>
    <x v="3"/>
    <x v="0"/>
    <n v="8"/>
    <n v="44817"/>
    <n v="358536"/>
    <x v="58"/>
    <s v="high sales"/>
  </r>
  <r>
    <s v="ORD4494"/>
    <s v="CUST806"/>
    <s v="Laptop"/>
    <x v="2"/>
    <x v="2"/>
    <x v="2"/>
    <n v="1"/>
    <n v="39725"/>
    <n v="39725"/>
    <x v="59"/>
    <s v="normal sales"/>
  </r>
  <r>
    <s v="ORD4317"/>
    <s v="CUST285"/>
    <s v="Tablet"/>
    <x v="1"/>
    <x v="3"/>
    <x v="4"/>
    <n v="16"/>
    <n v="31170"/>
    <n v="498720"/>
    <x v="60"/>
    <s v="high sales"/>
  </r>
  <r>
    <s v="ORD6707"/>
    <s v="CUST238"/>
    <s v="Monitor"/>
    <x v="1"/>
    <x v="0"/>
    <x v="4"/>
    <n v="18"/>
    <n v="5697"/>
    <n v="102546"/>
    <x v="61"/>
    <s v="high sales"/>
  </r>
  <r>
    <s v="ORD5838"/>
    <s v="CUST837"/>
    <s v="Laptop"/>
    <x v="2"/>
    <x v="3"/>
    <x v="1"/>
    <n v="20"/>
    <n v="11971"/>
    <n v="239420"/>
    <x v="62"/>
    <s v="high sales"/>
  </r>
  <r>
    <s v="ORD7330"/>
    <s v="CUST562"/>
    <s v="Printer"/>
    <x v="0"/>
    <x v="1"/>
    <x v="3"/>
    <n v="3"/>
    <n v="2639"/>
    <n v="7917"/>
    <x v="63"/>
    <s v="normal sales"/>
  </r>
  <r>
    <s v="ORD6951"/>
    <s v="CUST498"/>
    <s v="Phone"/>
    <x v="2"/>
    <x v="1"/>
    <x v="3"/>
    <n v="6"/>
    <n v="16890"/>
    <n v="101340"/>
    <x v="64"/>
    <s v="high sales"/>
  </r>
  <r>
    <s v="ORD5154"/>
    <s v="CUST873"/>
    <s v="Phone"/>
    <x v="0"/>
    <x v="2"/>
    <x v="1"/>
    <n v="18"/>
    <n v="31132"/>
    <n v="560376"/>
    <x v="65"/>
    <s v="high sales"/>
  </r>
  <r>
    <s v="ORD4237"/>
    <s v="CUST216"/>
    <s v="Monitor"/>
    <x v="0"/>
    <x v="0"/>
    <x v="1"/>
    <n v="5"/>
    <n v="6881"/>
    <n v="34405"/>
    <x v="66"/>
    <s v="normal sales"/>
  </r>
  <r>
    <s v="ORD3940"/>
    <s v="CUST271"/>
    <s v="Phone"/>
    <x v="0"/>
    <x v="2"/>
    <x v="1"/>
    <n v="18"/>
    <n v="30279"/>
    <n v="545022"/>
    <x v="67"/>
    <s v="high sales"/>
  </r>
  <r>
    <s v="ORD9580"/>
    <s v="CUST236"/>
    <s v="Printer"/>
    <x v="2"/>
    <x v="0"/>
    <x v="4"/>
    <n v="15"/>
    <n v="35161"/>
    <n v="527415"/>
    <x v="68"/>
    <s v="high sales"/>
  </r>
  <r>
    <s v="ORD4410"/>
    <s v="CUST212"/>
    <s v="Printer"/>
    <x v="2"/>
    <x v="2"/>
    <x v="0"/>
    <n v="5"/>
    <n v="22266"/>
    <n v="111330"/>
    <x v="69"/>
    <s v="high sales"/>
  </r>
  <r>
    <s v="ORD6856"/>
    <s v="CUST442"/>
    <s v="Monitor"/>
    <x v="0"/>
    <x v="2"/>
    <x v="1"/>
    <n v="8"/>
    <n v="11058"/>
    <n v="88464"/>
    <x v="70"/>
    <s v="normal sales"/>
  </r>
  <r>
    <s v="ORD4183"/>
    <s v="CUST884"/>
    <s v="Monitor"/>
    <x v="1"/>
    <x v="1"/>
    <x v="4"/>
    <n v="14"/>
    <n v="14747"/>
    <n v="206458"/>
    <x v="71"/>
    <s v="high sales"/>
  </r>
  <r>
    <s v="ORD8072"/>
    <s v="CUST988"/>
    <s v="Tablet"/>
    <x v="0"/>
    <x v="0"/>
    <x v="4"/>
    <n v="17"/>
    <n v="37326"/>
    <n v="634542"/>
    <x v="72"/>
    <s v="high sales"/>
  </r>
  <r>
    <s v="ORD2493"/>
    <s v="CUST447"/>
    <s v="Laptop"/>
    <x v="1"/>
    <x v="0"/>
    <x v="1"/>
    <n v="20"/>
    <n v="31347"/>
    <n v="626940"/>
    <x v="73"/>
    <s v="high sales"/>
  </r>
  <r>
    <s v="ORD8992"/>
    <s v="CUST124"/>
    <s v="Monitor"/>
    <x v="2"/>
    <x v="0"/>
    <x v="0"/>
    <n v="10"/>
    <n v="9543"/>
    <n v="95430"/>
    <x v="74"/>
    <s v="normal sales"/>
  </r>
  <r>
    <s v="ORD4014"/>
    <s v="CUST903"/>
    <s v="Laptop"/>
    <x v="0"/>
    <x v="2"/>
    <x v="3"/>
    <n v="8"/>
    <n v="14116"/>
    <n v="112928"/>
    <x v="74"/>
    <s v="high sales"/>
  </r>
  <r>
    <s v="ORD2452"/>
    <s v="CUST274"/>
    <s v="Printer"/>
    <x v="1"/>
    <x v="2"/>
    <x v="0"/>
    <n v="16"/>
    <n v="15281"/>
    <n v="244496"/>
    <x v="75"/>
    <s v="high sales"/>
  </r>
  <r>
    <s v="ORD3129"/>
    <s v="CUST672"/>
    <s v="Printer"/>
    <x v="1"/>
    <x v="1"/>
    <x v="4"/>
    <n v="11"/>
    <n v="28357"/>
    <n v="311927"/>
    <x v="76"/>
    <s v="high sales"/>
  </r>
  <r>
    <s v="ORD1812"/>
    <s v="CUST599"/>
    <s v="Laptop"/>
    <x v="2"/>
    <x v="1"/>
    <x v="0"/>
    <n v="17"/>
    <n v="21740"/>
    <n v="369580"/>
    <x v="77"/>
    <s v="high sales"/>
  </r>
  <r>
    <s v="ORD1177"/>
    <s v="CUST111"/>
    <s v="Printer"/>
    <x v="1"/>
    <x v="0"/>
    <x v="2"/>
    <n v="19"/>
    <n v="40762"/>
    <n v="774478"/>
    <x v="78"/>
    <s v="high sales"/>
  </r>
  <r>
    <s v="ORD1394"/>
    <s v="CUST795"/>
    <s v="Laptop"/>
    <x v="1"/>
    <x v="2"/>
    <x v="2"/>
    <n v="5"/>
    <n v="10742"/>
    <n v="53710"/>
    <x v="79"/>
    <s v="normal sales"/>
  </r>
  <r>
    <s v="ORD4076"/>
    <s v="CUST234"/>
    <s v="Printer"/>
    <x v="0"/>
    <x v="3"/>
    <x v="3"/>
    <n v="18"/>
    <n v="40787"/>
    <n v="734166"/>
    <x v="80"/>
    <s v="high sales"/>
  </r>
  <r>
    <s v="ORD9419"/>
    <s v="CUST446"/>
    <s v="Tablet"/>
    <x v="0"/>
    <x v="0"/>
    <x v="1"/>
    <n v="18"/>
    <n v="7182"/>
    <n v="129276"/>
    <x v="81"/>
    <s v="high sales"/>
  </r>
  <r>
    <s v="ORD6347"/>
    <s v="CUST556"/>
    <s v="Phone"/>
    <x v="1"/>
    <x v="2"/>
    <x v="1"/>
    <n v="20"/>
    <n v="4438"/>
    <n v="88760"/>
    <x v="82"/>
    <s v="normal sales"/>
  </r>
  <r>
    <s v="ORD5443"/>
    <s v="CUST872"/>
    <s v="Monitor"/>
    <x v="2"/>
    <x v="1"/>
    <x v="4"/>
    <n v="5"/>
    <n v="22204"/>
    <n v="111020"/>
    <x v="83"/>
    <s v="high sales"/>
  </r>
  <r>
    <s v="ORD7723"/>
    <s v="CUST778"/>
    <s v="Laptop"/>
    <x v="2"/>
    <x v="3"/>
    <x v="3"/>
    <n v="16"/>
    <n v="19682"/>
    <n v="314912"/>
    <x v="84"/>
    <s v="high sales"/>
  </r>
  <r>
    <s v="ORD7957"/>
    <s v="CUST124"/>
    <s v="Monitor"/>
    <x v="1"/>
    <x v="1"/>
    <x v="2"/>
    <n v="14"/>
    <n v="48991"/>
    <n v="685874"/>
    <x v="85"/>
    <s v="high sales"/>
  </r>
  <r>
    <s v="ORD3032"/>
    <s v="CUST620"/>
    <s v="Monitor"/>
    <x v="2"/>
    <x v="0"/>
    <x v="3"/>
    <n v="12"/>
    <n v="33216"/>
    <n v="398592"/>
    <x v="86"/>
    <s v="high sales"/>
  </r>
  <r>
    <s v="ORD7079"/>
    <s v="CUST635"/>
    <s v="Laptop"/>
    <x v="0"/>
    <x v="2"/>
    <x v="1"/>
    <n v="16"/>
    <n v="34698"/>
    <n v="555168"/>
    <x v="87"/>
    <s v="high sales"/>
  </r>
  <r>
    <s v="ORD7841"/>
    <s v="CUST853"/>
    <s v="Tablet"/>
    <x v="2"/>
    <x v="2"/>
    <x v="3"/>
    <n v="13"/>
    <n v="48946"/>
    <n v="636298"/>
    <x v="88"/>
    <s v="high sales"/>
  </r>
  <r>
    <s v="ORD6141"/>
    <s v="CUST318"/>
    <s v="Laptop"/>
    <x v="0"/>
    <x v="0"/>
    <x v="4"/>
    <n v="18"/>
    <n v="27447"/>
    <n v="494046"/>
    <x v="89"/>
    <s v="high sales"/>
  </r>
  <r>
    <s v="ORD8847"/>
    <s v="CUST738"/>
    <s v="Monitor"/>
    <x v="0"/>
    <x v="0"/>
    <x v="4"/>
    <n v="14"/>
    <n v="11282"/>
    <n v="157948"/>
    <x v="90"/>
    <s v="high sales"/>
  </r>
  <r>
    <s v="ORD7078"/>
    <s v="CUST477"/>
    <s v="Phone"/>
    <x v="0"/>
    <x v="2"/>
    <x v="0"/>
    <n v="4"/>
    <n v="15613"/>
    <n v="62452"/>
    <x v="91"/>
    <s v="normal sales"/>
  </r>
  <r>
    <s v="ORD7397"/>
    <s v="CUST280"/>
    <s v="Printer"/>
    <x v="2"/>
    <x v="1"/>
    <x v="4"/>
    <n v="7"/>
    <n v="29875"/>
    <n v="209125"/>
    <x v="92"/>
    <s v="high sales"/>
  </r>
  <r>
    <s v="ORD2867"/>
    <s v="CUST498"/>
    <s v="Laptop"/>
    <x v="0"/>
    <x v="3"/>
    <x v="1"/>
    <n v="13"/>
    <n v="2639"/>
    <n v="34307"/>
    <x v="93"/>
    <s v="normal sal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ORD8660"/>
    <s v="CUST143"/>
    <x v="0"/>
    <s v="Accessories"/>
    <s v="East"/>
    <s v="Rahul"/>
    <n v="8"/>
    <n v="23876"/>
    <n v="191008"/>
    <d v="2024-01-01T00:00:00"/>
    <s v="high sales"/>
    <x v="0"/>
    <x v="0"/>
  </r>
  <r>
    <s v="ORD3640"/>
    <s v="CUST887"/>
    <x v="1"/>
    <s v="Electronics"/>
    <s v="North"/>
    <s v="Neha"/>
    <n v="18"/>
    <n v="39851"/>
    <n v="717318"/>
    <d v="2024-01-12T00:00:00"/>
    <s v="high sales"/>
    <x v="0"/>
    <x v="1"/>
  </r>
  <r>
    <s v="ORD9305"/>
    <s v="CUST922"/>
    <x v="2"/>
    <s v="Office"/>
    <s v="East"/>
    <s v="Neha"/>
    <n v="18"/>
    <n v="17241"/>
    <n v="310338"/>
    <d v="2024-01-13T00:00:00"/>
    <s v="high sales"/>
    <x v="0"/>
    <x v="2"/>
  </r>
  <r>
    <s v="ORD3486"/>
    <s v="CUST899"/>
    <x v="0"/>
    <s v="Electronics"/>
    <s v="East"/>
    <s v="Neha"/>
    <n v="3"/>
    <n v="28756"/>
    <n v="86268"/>
    <d v="2024-01-29T00:00:00"/>
    <s v="normal sales"/>
    <x v="0"/>
    <x v="3"/>
  </r>
  <r>
    <s v="ORD8619"/>
    <s v="CUST960"/>
    <x v="3"/>
    <s v="Accessories"/>
    <s v="West"/>
    <s v="Priya"/>
    <n v="1"/>
    <n v="40274"/>
    <n v="40274"/>
    <d v="2024-02-09T00:00:00"/>
    <s v="normal sales"/>
    <x v="1"/>
    <x v="4"/>
  </r>
  <r>
    <s v="ORD8385"/>
    <s v="CUST133"/>
    <x v="1"/>
    <s v="Electronics"/>
    <s v="North"/>
    <s v="Rahul"/>
    <n v="17"/>
    <n v="20292"/>
    <n v="344964"/>
    <d v="2024-02-13T00:00:00"/>
    <s v="high sales"/>
    <x v="1"/>
    <x v="5"/>
  </r>
  <r>
    <s v="ORD9292"/>
    <s v="CUST272"/>
    <x v="3"/>
    <s v="Accessories"/>
    <s v="East"/>
    <s v="Priya"/>
    <n v="2"/>
    <n v="22703"/>
    <n v="45406"/>
    <d v="2024-02-19T00:00:00"/>
    <s v="normal sales"/>
    <x v="1"/>
    <x v="6"/>
  </r>
  <r>
    <s v="ORD5623"/>
    <s v="CUST909"/>
    <x v="2"/>
    <s v="Accessories"/>
    <s v="East"/>
    <s v="Priya"/>
    <n v="3"/>
    <n v="31501"/>
    <n v="94503"/>
    <d v="2024-03-17T00:00:00"/>
    <s v="normal sales"/>
    <x v="2"/>
    <x v="7"/>
  </r>
  <r>
    <s v="ORD4918"/>
    <s v="CUST622"/>
    <x v="4"/>
    <s v="Office"/>
    <s v="East"/>
    <s v="Priya"/>
    <n v="5"/>
    <n v="36577"/>
    <n v="182885"/>
    <d v="2024-03-27T00:00:00"/>
    <s v="high sales"/>
    <x v="2"/>
    <x v="8"/>
  </r>
  <r>
    <s v="ORD7872"/>
    <s v="CUST850"/>
    <x v="1"/>
    <s v="Office"/>
    <s v="West"/>
    <s v="Priya"/>
    <n v="6"/>
    <n v="26082"/>
    <n v="156492"/>
    <d v="2024-04-02T00:00:00"/>
    <s v="high sales"/>
    <x v="3"/>
    <x v="9"/>
  </r>
  <r>
    <s v="ORD3343"/>
    <s v="CUST264"/>
    <x v="3"/>
    <s v="Electronics"/>
    <s v="West"/>
    <s v="Rahul"/>
    <n v="16"/>
    <n v="40047"/>
    <n v="640752"/>
    <d v="2024-04-03T00:00:00"/>
    <s v="high sales"/>
    <x v="3"/>
    <x v="10"/>
  </r>
  <r>
    <s v="ORD5065"/>
    <s v="CUST736"/>
    <x v="4"/>
    <s v="Office"/>
    <s v="North"/>
    <s v="Priya"/>
    <n v="18"/>
    <n v="39266"/>
    <n v="706788"/>
    <d v="2024-04-07T00:00:00"/>
    <s v="high sales"/>
    <x v="3"/>
    <x v="11"/>
  </r>
  <r>
    <s v="ORD1840"/>
    <s v="CUST428"/>
    <x v="3"/>
    <s v="Office"/>
    <s v="South"/>
    <s v="Rahul"/>
    <n v="16"/>
    <n v="35695"/>
    <n v="571120"/>
    <d v="2024-04-10T00:00:00"/>
    <s v="high sales"/>
    <x v="3"/>
    <x v="12"/>
  </r>
  <r>
    <s v="ORD1142"/>
    <s v="CUST749"/>
    <x v="1"/>
    <s v="Office"/>
    <s v="North"/>
    <s v="Priya"/>
    <n v="9"/>
    <n v="8683"/>
    <n v="78147"/>
    <d v="2024-04-28T00:00:00"/>
    <s v="normal sales"/>
    <x v="3"/>
    <x v="13"/>
  </r>
  <r>
    <s v="ORD8503"/>
    <s v="CUST132"/>
    <x v="3"/>
    <s v="Electronics"/>
    <s v="West"/>
    <s v="Amit"/>
    <n v="2"/>
    <n v="11053"/>
    <n v="22106"/>
    <d v="2024-05-10T00:00:00"/>
    <s v="normal sales"/>
    <x v="4"/>
    <x v="14"/>
  </r>
  <r>
    <s v="ORD4719"/>
    <s v="CUST834"/>
    <x v="0"/>
    <s v="Office"/>
    <s v="North"/>
    <s v="Priya"/>
    <n v="20"/>
    <n v="3856"/>
    <n v="77120"/>
    <d v="2024-05-21T00:00:00"/>
    <s v="normal sales"/>
    <x v="4"/>
    <x v="15"/>
  </r>
  <r>
    <s v="ORD7650"/>
    <s v="CUST808"/>
    <x v="0"/>
    <s v="Accessories"/>
    <s v="West"/>
    <s v="Priya"/>
    <n v="2"/>
    <n v="7950"/>
    <n v="15900"/>
    <d v="2024-05-25T00:00:00"/>
    <s v="normal sales"/>
    <x v="4"/>
    <x v="16"/>
  </r>
  <r>
    <s v="ORD3908"/>
    <s v="CUST625"/>
    <x v="1"/>
    <s v="Accessories"/>
    <s v="North"/>
    <s v="Priya"/>
    <n v="19"/>
    <n v="19320"/>
    <n v="367080"/>
    <d v="2024-06-20T00:00:00"/>
    <s v="high sales"/>
    <x v="5"/>
    <x v="17"/>
  </r>
  <r>
    <s v="ORD1226"/>
    <s v="CUST566"/>
    <x v="1"/>
    <s v="Electronics"/>
    <s v="East"/>
    <s v="Neha"/>
    <n v="16"/>
    <n v="3963"/>
    <n v="63408"/>
    <d v="2024-06-22T00:00:00"/>
    <s v="normal sales"/>
    <x v="5"/>
    <x v="18"/>
  </r>
  <r>
    <s v="ORD6590"/>
    <s v="CUST418"/>
    <x v="2"/>
    <s v="Accessories"/>
    <s v="East"/>
    <s v="Arjun"/>
    <n v="17"/>
    <n v="14526"/>
    <n v="246942"/>
    <d v="2024-06-23T00:00:00"/>
    <s v="high sales"/>
    <x v="5"/>
    <x v="19"/>
  </r>
  <r>
    <s v="ORD7970"/>
    <s v="CUST854"/>
    <x v="0"/>
    <s v="Accessories"/>
    <s v="North"/>
    <s v="Arjun"/>
    <n v="13"/>
    <n v="22473"/>
    <n v="292149"/>
    <d v="2024-07-09T00:00:00"/>
    <s v="high sales"/>
    <x v="6"/>
    <x v="20"/>
  </r>
  <r>
    <s v="ORD6904"/>
    <s v="CUST990"/>
    <x v="2"/>
    <s v="Electronics"/>
    <s v="South"/>
    <s v="Arjun"/>
    <n v="8"/>
    <n v="11039"/>
    <n v="88312"/>
    <d v="2024-07-09T00:00:00"/>
    <s v="normal sales"/>
    <x v="6"/>
    <x v="21"/>
  </r>
  <r>
    <s v="ORD1337"/>
    <s v="CUST889"/>
    <x v="4"/>
    <s v="Office"/>
    <s v="North"/>
    <s v="Neha"/>
    <n v="5"/>
    <n v="7218"/>
    <n v="36090"/>
    <d v="2024-08-01T00:00:00"/>
    <s v="normal sales"/>
    <x v="7"/>
    <x v="22"/>
  </r>
  <r>
    <s v="ORD3206"/>
    <s v="CUST340"/>
    <x v="4"/>
    <s v="Office"/>
    <s v="North"/>
    <s v="Priya"/>
    <n v="16"/>
    <n v="6881"/>
    <n v="110096"/>
    <d v="2024-08-14T00:00:00"/>
    <s v="high sales"/>
    <x v="7"/>
    <x v="23"/>
  </r>
  <r>
    <s v="ORD8788"/>
    <s v="CUST316"/>
    <x v="1"/>
    <s v="Electronics"/>
    <s v="East"/>
    <s v="Priya"/>
    <n v="13"/>
    <n v="18431"/>
    <n v="239603"/>
    <d v="2024-08-16T00:00:00"/>
    <s v="high sales"/>
    <x v="7"/>
    <x v="24"/>
  </r>
  <r>
    <s v="ORD2861"/>
    <s v="CUST133"/>
    <x v="1"/>
    <s v="Office"/>
    <s v="East"/>
    <s v="Rahul"/>
    <n v="17"/>
    <n v="4507"/>
    <n v="76619"/>
    <d v="2024-08-20T00:00:00"/>
    <s v="normal sales"/>
    <x v="7"/>
    <x v="25"/>
  </r>
  <r>
    <s v="ORD9885"/>
    <s v="CUST331"/>
    <x v="3"/>
    <s v="Accessories"/>
    <s v="East"/>
    <s v="Neha"/>
    <n v="4"/>
    <n v="29150"/>
    <n v="116600"/>
    <d v="2024-09-08T00:00:00"/>
    <s v="high sales"/>
    <x v="8"/>
    <x v="26"/>
  </r>
  <r>
    <s v="ORD9037"/>
    <s v="CUST471"/>
    <x v="2"/>
    <s v="Office"/>
    <s v="West"/>
    <s v="Neha"/>
    <n v="8"/>
    <n v="11286"/>
    <n v="90288"/>
    <d v="2024-09-10T00:00:00"/>
    <s v="normal sales"/>
    <x v="8"/>
    <x v="27"/>
  </r>
  <r>
    <s v="ORD7646"/>
    <s v="CUST824"/>
    <x v="3"/>
    <s v="Office"/>
    <s v="East"/>
    <s v="Rahul"/>
    <n v="8"/>
    <n v="49117"/>
    <n v="392936"/>
    <d v="2024-09-10T00:00:00"/>
    <s v="high sales"/>
    <x v="8"/>
    <x v="28"/>
  </r>
  <r>
    <s v="ORD8361"/>
    <s v="CUST973"/>
    <x v="4"/>
    <s v="Office"/>
    <s v="South"/>
    <s v="Arjun"/>
    <n v="12"/>
    <n v="36991"/>
    <n v="443892"/>
    <d v="2024-09-22T00:00:00"/>
    <s v="high sales"/>
    <x v="8"/>
    <x v="29"/>
  </r>
  <r>
    <s v="ORD1212"/>
    <s v="CUST251"/>
    <x v="1"/>
    <s v="Accessories"/>
    <s v="North"/>
    <s v="Amit"/>
    <n v="6"/>
    <n v="29635"/>
    <n v="177810"/>
    <d v="2024-09-29T00:00:00"/>
    <s v="high sales"/>
    <x v="8"/>
    <x v="30"/>
  </r>
  <r>
    <s v="ORD9130"/>
    <s v="CUST672"/>
    <x v="0"/>
    <s v="Accessories"/>
    <s v="South"/>
    <s v="Rahul"/>
    <n v="8"/>
    <n v="29418"/>
    <n v="235344"/>
    <d v="2024-10-04T00:00:00"/>
    <s v="high sales"/>
    <x v="9"/>
    <x v="31"/>
  </r>
  <r>
    <s v="ORD5302"/>
    <s v="CUST645"/>
    <x v="4"/>
    <s v="Electronics"/>
    <s v="East"/>
    <s v="Neha"/>
    <n v="18"/>
    <n v="18428"/>
    <n v="331704"/>
    <d v="2024-10-05T00:00:00"/>
    <s v="high sales"/>
    <x v="9"/>
    <x v="32"/>
  </r>
  <r>
    <s v="ORD2927"/>
    <s v="CUST254"/>
    <x v="2"/>
    <s v="Office"/>
    <s v="East"/>
    <s v="Rahul"/>
    <n v="5"/>
    <n v="4053"/>
    <n v="20265"/>
    <d v="2024-10-08T00:00:00"/>
    <s v="normal sales"/>
    <x v="9"/>
    <x v="33"/>
  </r>
  <r>
    <s v="ORD9897"/>
    <s v="CUST226"/>
    <x v="3"/>
    <s v="Accessories"/>
    <s v="East"/>
    <s v="Priya"/>
    <n v="9"/>
    <n v="29435"/>
    <n v="264915"/>
    <d v="2024-10-13T00:00:00"/>
    <s v="high sales"/>
    <x v="9"/>
    <x v="34"/>
  </r>
  <r>
    <s v="ORD2352"/>
    <s v="CUST743"/>
    <x v="3"/>
    <s v="Electronics"/>
    <s v="South"/>
    <s v="Arjun"/>
    <n v="5"/>
    <n v="31907"/>
    <n v="159535"/>
    <d v="2024-10-28T00:00:00"/>
    <s v="high sales"/>
    <x v="9"/>
    <x v="35"/>
  </r>
  <r>
    <s v="ORD6179"/>
    <s v="CUST231"/>
    <x v="1"/>
    <s v="Office"/>
    <s v="North"/>
    <s v="Amit"/>
    <n v="3"/>
    <n v="35132"/>
    <n v="105396"/>
    <d v="2024-11-08T00:00:00"/>
    <s v="high sales"/>
    <x v="10"/>
    <x v="36"/>
  </r>
  <r>
    <s v="ORD2168"/>
    <s v="CUST304"/>
    <x v="0"/>
    <s v="Electronics"/>
    <s v="East"/>
    <s v="Priya"/>
    <n v="19"/>
    <n v="46520"/>
    <n v="883880"/>
    <d v="2024-11-12T00:00:00"/>
    <s v="high sales"/>
    <x v="10"/>
    <x v="37"/>
  </r>
  <r>
    <s v="ORD7430"/>
    <s v="CUST229"/>
    <x v="0"/>
    <s v="Accessories"/>
    <s v="East"/>
    <s v="Priya"/>
    <n v="12"/>
    <n v="31392"/>
    <n v="376704"/>
    <d v="2024-11-14T00:00:00"/>
    <s v="high sales"/>
    <x v="10"/>
    <x v="38"/>
  </r>
  <r>
    <s v="ORD1306"/>
    <s v="CUST962"/>
    <x v="4"/>
    <s v="Accessories"/>
    <s v="West"/>
    <s v="Amit"/>
    <n v="18"/>
    <n v="40322"/>
    <n v="725796"/>
    <d v="2024-11-14T00:00:00"/>
    <s v="high sales"/>
    <x v="10"/>
    <x v="39"/>
  </r>
  <r>
    <s v="ORD5542"/>
    <s v="CUST321"/>
    <x v="2"/>
    <s v="Electronics"/>
    <s v="West"/>
    <s v="Neha"/>
    <n v="6"/>
    <n v="38468"/>
    <n v="230808"/>
    <d v="2024-11-21T00:00:00"/>
    <s v="high sales"/>
    <x v="10"/>
    <x v="40"/>
  </r>
  <r>
    <s v="ORD4314"/>
    <s v="CUST332"/>
    <x v="4"/>
    <s v="Electronics"/>
    <s v="South"/>
    <s v="Amit"/>
    <n v="10"/>
    <n v="23486"/>
    <n v="234860"/>
    <d v="2024-12-01T00:00:00"/>
    <s v="high sales"/>
    <x v="11"/>
    <x v="41"/>
  </r>
  <r>
    <s v="ORD2652"/>
    <s v="CUST993"/>
    <x v="2"/>
    <s v="Office"/>
    <s v="East"/>
    <s v="Rahul"/>
    <n v="19"/>
    <n v="43865"/>
    <n v="833435"/>
    <d v="2024-12-02T00:00:00"/>
    <s v="high sales"/>
    <x v="11"/>
    <x v="42"/>
  </r>
  <r>
    <s v="ORD2304"/>
    <s v="CUST734"/>
    <x v="0"/>
    <s v="Electronics"/>
    <s v="North"/>
    <s v="Rahul"/>
    <n v="20"/>
    <n v="35257"/>
    <n v="705140"/>
    <d v="2024-12-03T00:00:00"/>
    <s v="high sales"/>
    <x v="11"/>
    <x v="43"/>
  </r>
  <r>
    <s v="ORD5051"/>
    <s v="CUST445"/>
    <x v="4"/>
    <s v="Accessories"/>
    <s v="East"/>
    <s v="Priya"/>
    <n v="5"/>
    <n v="29535"/>
    <n v="147675"/>
    <d v="2024-12-09T00:00:00"/>
    <s v="high sales"/>
    <x v="11"/>
    <x v="44"/>
  </r>
  <r>
    <s v="ORD2769"/>
    <s v="CUST165"/>
    <x v="3"/>
    <s v="Office"/>
    <s v="East"/>
    <s v="Rahul"/>
    <n v="11"/>
    <n v="40640"/>
    <n v="447040"/>
    <d v="2024-12-19T00:00:00"/>
    <s v="high sales"/>
    <x v="11"/>
    <x v="45"/>
  </r>
  <r>
    <s v="ORD7350"/>
    <s v="CUST100"/>
    <x v="4"/>
    <s v="Electronics"/>
    <s v="South"/>
    <s v="Arjun"/>
    <n v="20"/>
    <n v="14396"/>
    <n v="287920"/>
    <d v="2024-12-27T00:00:00"/>
    <s v="high sales"/>
    <x v="11"/>
    <x v="46"/>
  </r>
  <r>
    <s v="ORD3765"/>
    <s v="CUST472"/>
    <x v="4"/>
    <s v="Office"/>
    <s v="North"/>
    <s v="Amit"/>
    <n v="4"/>
    <n v="18286"/>
    <n v="73144"/>
    <d v="2024-12-27T00:00:00"/>
    <s v="normal sales"/>
    <x v="11"/>
    <x v="47"/>
  </r>
  <r>
    <s v="ORD6388"/>
    <s v="CUST640"/>
    <x v="3"/>
    <s v="Accessories"/>
    <s v="South"/>
    <s v="Amit"/>
    <n v="16"/>
    <n v="38605"/>
    <n v="617680"/>
    <d v="2025-01-11T00:00:00"/>
    <s v="high sales"/>
    <x v="0"/>
    <x v="48"/>
  </r>
  <r>
    <s v="ORD4802"/>
    <s v="CUST148"/>
    <x v="4"/>
    <s v="Electronics"/>
    <s v="West"/>
    <s v="Rahul"/>
    <n v="3"/>
    <n v="31572"/>
    <n v="94716"/>
    <d v="2025-01-19T00:00:00"/>
    <s v="normal sales"/>
    <x v="0"/>
    <x v="49"/>
  </r>
  <r>
    <s v="ORD7014"/>
    <s v="CUST514"/>
    <x v="2"/>
    <s v="Accessories"/>
    <s v="South"/>
    <s v="Priya"/>
    <n v="2"/>
    <n v="2125"/>
    <n v="4250"/>
    <d v="2025-02-04T00:00:00"/>
    <s v="normal sales"/>
    <x v="1"/>
    <x v="50"/>
  </r>
  <r>
    <s v="ORD3341"/>
    <s v="CUST538"/>
    <x v="1"/>
    <s v="Office"/>
    <s v="East"/>
    <s v="Amit"/>
    <n v="12"/>
    <n v="18817"/>
    <n v="225804"/>
    <d v="2025-02-09T00:00:00"/>
    <s v="high sales"/>
    <x v="1"/>
    <x v="51"/>
  </r>
  <r>
    <s v="ORD8879"/>
    <s v="CUST786"/>
    <x v="4"/>
    <s v="Accessories"/>
    <s v="West"/>
    <s v="Priya"/>
    <n v="5"/>
    <n v="8681"/>
    <n v="43405"/>
    <d v="2025-02-17T00:00:00"/>
    <s v="normal sales"/>
    <x v="1"/>
    <x v="52"/>
  </r>
  <r>
    <s v="ORD6283"/>
    <s v="CUST514"/>
    <x v="0"/>
    <s v="Office"/>
    <s v="South"/>
    <s v="Neha"/>
    <n v="11"/>
    <n v="5666"/>
    <n v="62326"/>
    <d v="2025-02-28T00:00:00"/>
    <s v="normal sales"/>
    <x v="1"/>
    <x v="53"/>
  </r>
  <r>
    <s v="ORD9454"/>
    <s v="CUST459"/>
    <x v="2"/>
    <s v="Accessories"/>
    <s v="North"/>
    <s v="Arjun"/>
    <n v="15"/>
    <n v="28130"/>
    <n v="421950"/>
    <d v="2025-03-18T00:00:00"/>
    <s v="high sales"/>
    <x v="2"/>
    <x v="54"/>
  </r>
  <r>
    <s v="ORD4558"/>
    <s v="CUST911"/>
    <x v="1"/>
    <s v="Electronics"/>
    <s v="West"/>
    <s v="Priya"/>
    <n v="12"/>
    <n v="39635"/>
    <n v="475620"/>
    <d v="2025-04-01T00:00:00"/>
    <s v="high sales"/>
    <x v="3"/>
    <x v="55"/>
  </r>
  <r>
    <s v="ORD9612"/>
    <s v="CUST785"/>
    <x v="0"/>
    <s v="Office"/>
    <s v="East"/>
    <s v="Arjun"/>
    <n v="6"/>
    <n v="5085"/>
    <n v="30510"/>
    <d v="2025-04-02T00:00:00"/>
    <s v="normal sales"/>
    <x v="3"/>
    <x v="56"/>
  </r>
  <r>
    <s v="ORD8144"/>
    <s v="CUST920"/>
    <x v="3"/>
    <s v="Accessories"/>
    <s v="North"/>
    <s v="Neha"/>
    <n v="19"/>
    <n v="26106"/>
    <n v="496014"/>
    <d v="2025-04-07T00:00:00"/>
    <s v="high sales"/>
    <x v="3"/>
    <x v="57"/>
  </r>
  <r>
    <s v="ORD1587"/>
    <s v="CUST232"/>
    <x v="1"/>
    <s v="Electronics"/>
    <s v="South"/>
    <s v="Arjun"/>
    <n v="11"/>
    <n v="31741"/>
    <n v="349151"/>
    <d v="2025-04-08T00:00:00"/>
    <s v="high sales"/>
    <x v="3"/>
    <x v="58"/>
  </r>
  <r>
    <s v="ORD6183"/>
    <s v="CUST940"/>
    <x v="1"/>
    <s v="Electronics"/>
    <s v="East"/>
    <s v="Amit"/>
    <n v="19"/>
    <n v="11754"/>
    <n v="223326"/>
    <d v="2025-04-12T00:00:00"/>
    <s v="high sales"/>
    <x v="3"/>
    <x v="59"/>
  </r>
  <r>
    <s v="ORD7262"/>
    <s v="CUST968"/>
    <x v="4"/>
    <s v="Accessories"/>
    <s v="East"/>
    <s v="Amit"/>
    <n v="19"/>
    <n v="19677"/>
    <n v="373863"/>
    <d v="2025-04-14T00:00:00"/>
    <s v="high sales"/>
    <x v="3"/>
    <x v="60"/>
  </r>
  <r>
    <s v="ORD4227"/>
    <s v="CUST978"/>
    <x v="3"/>
    <s v="Office"/>
    <s v="West"/>
    <s v="Amit"/>
    <n v="9"/>
    <n v="17026"/>
    <n v="153234"/>
    <d v="2025-04-26T00:00:00"/>
    <s v="high sales"/>
    <x v="3"/>
    <x v="61"/>
  </r>
  <r>
    <s v="ORD7775"/>
    <s v="CUST120"/>
    <x v="3"/>
    <s v="Electronics"/>
    <s v="South"/>
    <s v="Rahul"/>
    <n v="8"/>
    <n v="44817"/>
    <n v="358536"/>
    <d v="2025-05-01T00:00:00"/>
    <s v="high sales"/>
    <x v="4"/>
    <x v="62"/>
  </r>
  <r>
    <s v="ORD4494"/>
    <s v="CUST806"/>
    <x v="4"/>
    <s v="Office"/>
    <s v="West"/>
    <s v="Priya"/>
    <n v="1"/>
    <n v="39725"/>
    <n v="39725"/>
    <d v="2025-05-08T00:00:00"/>
    <s v="normal sales"/>
    <x v="4"/>
    <x v="63"/>
  </r>
  <r>
    <s v="ORD4317"/>
    <s v="CUST285"/>
    <x v="1"/>
    <s v="Electronics"/>
    <s v="South"/>
    <s v="Arjun"/>
    <n v="16"/>
    <n v="31170"/>
    <n v="498720"/>
    <d v="2025-05-10T00:00:00"/>
    <s v="high sales"/>
    <x v="4"/>
    <x v="64"/>
  </r>
  <r>
    <s v="ORD6707"/>
    <s v="CUST238"/>
    <x v="0"/>
    <s v="Electronics"/>
    <s v="East"/>
    <s v="Arjun"/>
    <n v="18"/>
    <n v="5697"/>
    <n v="102546"/>
    <d v="2025-05-17T00:00:00"/>
    <s v="high sales"/>
    <x v="4"/>
    <x v="65"/>
  </r>
  <r>
    <s v="ORD5838"/>
    <s v="CUST837"/>
    <x v="4"/>
    <s v="Office"/>
    <s v="South"/>
    <s v="Neha"/>
    <n v="20"/>
    <n v="11971"/>
    <n v="239420"/>
    <d v="2025-05-21T00:00:00"/>
    <s v="high sales"/>
    <x v="4"/>
    <x v="66"/>
  </r>
  <r>
    <s v="ORD7330"/>
    <s v="CUST562"/>
    <x v="2"/>
    <s v="Accessories"/>
    <s v="North"/>
    <s v="Amit"/>
    <n v="3"/>
    <n v="2639"/>
    <n v="7917"/>
    <d v="2025-05-26T00:00:00"/>
    <s v="normal sales"/>
    <x v="4"/>
    <x v="67"/>
  </r>
  <r>
    <s v="ORD6951"/>
    <s v="CUST498"/>
    <x v="3"/>
    <s v="Office"/>
    <s v="North"/>
    <s v="Amit"/>
    <n v="6"/>
    <n v="16890"/>
    <n v="101340"/>
    <d v="2025-06-09T00:00:00"/>
    <s v="high sales"/>
    <x v="5"/>
    <x v="68"/>
  </r>
  <r>
    <s v="ORD5154"/>
    <s v="CUST873"/>
    <x v="3"/>
    <s v="Accessories"/>
    <s v="West"/>
    <s v="Neha"/>
    <n v="18"/>
    <n v="31132"/>
    <n v="560376"/>
    <d v="2025-06-28T00:00:00"/>
    <s v="high sales"/>
    <x v="5"/>
    <x v="69"/>
  </r>
  <r>
    <s v="ORD4237"/>
    <s v="CUST216"/>
    <x v="0"/>
    <s v="Accessories"/>
    <s v="East"/>
    <s v="Neha"/>
    <n v="5"/>
    <n v="6881"/>
    <n v="34405"/>
    <d v="2025-06-29T00:00:00"/>
    <s v="normal sales"/>
    <x v="5"/>
    <x v="70"/>
  </r>
  <r>
    <s v="ORD3940"/>
    <s v="CUST271"/>
    <x v="3"/>
    <s v="Accessories"/>
    <s v="West"/>
    <s v="Neha"/>
    <n v="18"/>
    <n v="30279"/>
    <n v="545022"/>
    <d v="2025-07-06T00:00:00"/>
    <s v="high sales"/>
    <x v="6"/>
    <x v="71"/>
  </r>
  <r>
    <s v="ORD9580"/>
    <s v="CUST236"/>
    <x v="2"/>
    <s v="Office"/>
    <s v="East"/>
    <s v="Arjun"/>
    <n v="15"/>
    <n v="35161"/>
    <n v="527415"/>
    <d v="2025-07-07T00:00:00"/>
    <s v="high sales"/>
    <x v="6"/>
    <x v="72"/>
  </r>
  <r>
    <s v="ORD4410"/>
    <s v="CUST212"/>
    <x v="2"/>
    <s v="Office"/>
    <s v="West"/>
    <s v="Rahul"/>
    <n v="5"/>
    <n v="22266"/>
    <n v="111330"/>
    <d v="2025-07-10T00:00:00"/>
    <s v="high sales"/>
    <x v="6"/>
    <x v="73"/>
  </r>
  <r>
    <s v="ORD6856"/>
    <s v="CUST442"/>
    <x v="0"/>
    <s v="Accessories"/>
    <s v="West"/>
    <s v="Neha"/>
    <n v="8"/>
    <n v="11058"/>
    <n v="88464"/>
    <d v="2025-07-13T00:00:00"/>
    <s v="normal sales"/>
    <x v="6"/>
    <x v="74"/>
  </r>
  <r>
    <s v="ORD4183"/>
    <s v="CUST884"/>
    <x v="0"/>
    <s v="Electronics"/>
    <s v="North"/>
    <s v="Arjun"/>
    <n v="14"/>
    <n v="14747"/>
    <n v="206458"/>
    <d v="2025-08-05T00:00:00"/>
    <s v="high sales"/>
    <x v="7"/>
    <x v="75"/>
  </r>
  <r>
    <s v="ORD8072"/>
    <s v="CUST988"/>
    <x v="1"/>
    <s v="Accessories"/>
    <s v="East"/>
    <s v="Arjun"/>
    <n v="17"/>
    <n v="37326"/>
    <n v="634542"/>
    <d v="2025-08-09T00:00:00"/>
    <s v="high sales"/>
    <x v="7"/>
    <x v="76"/>
  </r>
  <r>
    <s v="ORD2493"/>
    <s v="CUST447"/>
    <x v="4"/>
    <s v="Electronics"/>
    <s v="East"/>
    <s v="Neha"/>
    <n v="20"/>
    <n v="31347"/>
    <n v="626940"/>
    <d v="2025-08-11T00:00:00"/>
    <s v="high sales"/>
    <x v="7"/>
    <x v="77"/>
  </r>
  <r>
    <s v="ORD8992"/>
    <s v="CUST124"/>
    <x v="0"/>
    <s v="Office"/>
    <s v="East"/>
    <s v="Rahul"/>
    <n v="10"/>
    <n v="9543"/>
    <n v="95430"/>
    <d v="2025-08-15T00:00:00"/>
    <s v="normal sales"/>
    <x v="7"/>
    <x v="78"/>
  </r>
  <r>
    <s v="ORD4014"/>
    <s v="CUST903"/>
    <x v="4"/>
    <s v="Accessories"/>
    <s v="West"/>
    <s v="Amit"/>
    <n v="8"/>
    <n v="14116"/>
    <n v="112928"/>
    <d v="2025-08-15T00:00:00"/>
    <s v="high sales"/>
    <x v="7"/>
    <x v="79"/>
  </r>
  <r>
    <s v="ORD2452"/>
    <s v="CUST274"/>
    <x v="2"/>
    <s v="Electronics"/>
    <s v="West"/>
    <s v="Rahul"/>
    <n v="16"/>
    <n v="15281"/>
    <n v="244496"/>
    <d v="2025-08-22T00:00:00"/>
    <s v="high sales"/>
    <x v="7"/>
    <x v="80"/>
  </r>
  <r>
    <s v="ORD3129"/>
    <s v="CUST672"/>
    <x v="2"/>
    <s v="Electronics"/>
    <s v="North"/>
    <s v="Arjun"/>
    <n v="11"/>
    <n v="28357"/>
    <n v="311927"/>
    <d v="2025-08-31T00:00:00"/>
    <s v="high sales"/>
    <x v="7"/>
    <x v="81"/>
  </r>
  <r>
    <s v="ORD1812"/>
    <s v="CUST599"/>
    <x v="4"/>
    <s v="Office"/>
    <s v="North"/>
    <s v="Rahul"/>
    <n v="17"/>
    <n v="21740"/>
    <n v="369580"/>
    <d v="2025-09-03T00:00:00"/>
    <s v="high sales"/>
    <x v="8"/>
    <x v="82"/>
  </r>
  <r>
    <s v="ORD1177"/>
    <s v="CUST111"/>
    <x v="2"/>
    <s v="Electronics"/>
    <s v="East"/>
    <s v="Priya"/>
    <n v="19"/>
    <n v="40762"/>
    <n v="774478"/>
    <d v="2025-09-05T00:00:00"/>
    <s v="high sales"/>
    <x v="8"/>
    <x v="83"/>
  </r>
  <r>
    <s v="ORD1394"/>
    <s v="CUST795"/>
    <x v="4"/>
    <s v="Electronics"/>
    <s v="West"/>
    <s v="Priya"/>
    <n v="5"/>
    <n v="10742"/>
    <n v="53710"/>
    <d v="2025-09-13T00:00:00"/>
    <s v="normal sales"/>
    <x v="8"/>
    <x v="84"/>
  </r>
  <r>
    <s v="ORD4076"/>
    <s v="CUST234"/>
    <x v="2"/>
    <s v="Accessories"/>
    <s v="South"/>
    <s v="Amit"/>
    <n v="18"/>
    <n v="40787"/>
    <n v="734166"/>
    <d v="2025-09-26T00:00:00"/>
    <s v="high sales"/>
    <x v="8"/>
    <x v="85"/>
  </r>
  <r>
    <s v="ORD9419"/>
    <s v="CUST446"/>
    <x v="1"/>
    <s v="Accessories"/>
    <s v="East"/>
    <s v="Neha"/>
    <n v="18"/>
    <n v="7182"/>
    <n v="129276"/>
    <d v="2025-09-28T00:00:00"/>
    <s v="high sales"/>
    <x v="8"/>
    <x v="86"/>
  </r>
  <r>
    <s v="ORD6347"/>
    <s v="CUST556"/>
    <x v="3"/>
    <s v="Electronics"/>
    <s v="West"/>
    <s v="Neha"/>
    <n v="20"/>
    <n v="4438"/>
    <n v="88760"/>
    <d v="2025-09-29T00:00:00"/>
    <s v="normal sales"/>
    <x v="8"/>
    <x v="87"/>
  </r>
  <r>
    <s v="ORD5443"/>
    <s v="CUST872"/>
    <x v="0"/>
    <s v="Office"/>
    <s v="North"/>
    <s v="Arjun"/>
    <n v="5"/>
    <n v="22204"/>
    <n v="111020"/>
    <d v="2025-10-02T00:00:00"/>
    <s v="high sales"/>
    <x v="9"/>
    <x v="88"/>
  </r>
  <r>
    <s v="ORD7723"/>
    <s v="CUST778"/>
    <x v="4"/>
    <s v="Office"/>
    <s v="South"/>
    <s v="Amit"/>
    <n v="16"/>
    <n v="19682"/>
    <n v="314912"/>
    <d v="2025-10-12T00:00:00"/>
    <s v="high sales"/>
    <x v="9"/>
    <x v="89"/>
  </r>
  <r>
    <s v="ORD7957"/>
    <s v="CUST124"/>
    <x v="0"/>
    <s v="Electronics"/>
    <s v="North"/>
    <s v="Priya"/>
    <n v="14"/>
    <n v="48991"/>
    <n v="685874"/>
    <d v="2025-10-14T00:00:00"/>
    <s v="high sales"/>
    <x v="9"/>
    <x v="90"/>
  </r>
  <r>
    <s v="ORD3032"/>
    <s v="CUST620"/>
    <x v="0"/>
    <s v="Office"/>
    <s v="East"/>
    <s v="Amit"/>
    <n v="12"/>
    <n v="33216"/>
    <n v="398592"/>
    <d v="2025-10-21T00:00:00"/>
    <s v="high sales"/>
    <x v="9"/>
    <x v="91"/>
  </r>
  <r>
    <s v="ORD7079"/>
    <s v="CUST635"/>
    <x v="4"/>
    <s v="Accessories"/>
    <s v="West"/>
    <s v="Neha"/>
    <n v="16"/>
    <n v="34698"/>
    <n v="555168"/>
    <d v="2025-11-16T00:00:00"/>
    <s v="high sales"/>
    <x v="10"/>
    <x v="92"/>
  </r>
  <r>
    <s v="ORD7841"/>
    <s v="CUST853"/>
    <x v="1"/>
    <s v="Office"/>
    <s v="West"/>
    <s v="Amit"/>
    <n v="13"/>
    <n v="48946"/>
    <n v="636298"/>
    <d v="2025-11-20T00:00:00"/>
    <s v="high sales"/>
    <x v="10"/>
    <x v="93"/>
  </r>
  <r>
    <s v="ORD6141"/>
    <s v="CUST318"/>
    <x v="4"/>
    <s v="Accessories"/>
    <s v="East"/>
    <s v="Arjun"/>
    <n v="18"/>
    <n v="27447"/>
    <n v="494046"/>
    <d v="2025-11-21T00:00:00"/>
    <s v="high sales"/>
    <x v="10"/>
    <x v="94"/>
  </r>
  <r>
    <s v="ORD8847"/>
    <s v="CUST738"/>
    <x v="0"/>
    <s v="Accessories"/>
    <s v="East"/>
    <s v="Arjun"/>
    <n v="14"/>
    <n v="11282"/>
    <n v="157948"/>
    <d v="2025-11-28T00:00:00"/>
    <s v="high sales"/>
    <x v="10"/>
    <x v="95"/>
  </r>
  <r>
    <s v="ORD7078"/>
    <s v="CUST477"/>
    <x v="3"/>
    <s v="Accessories"/>
    <s v="West"/>
    <s v="Rahul"/>
    <n v="4"/>
    <n v="15613"/>
    <n v="62452"/>
    <d v="2025-12-04T00:00:00"/>
    <s v="normal sales"/>
    <x v="11"/>
    <x v="96"/>
  </r>
  <r>
    <s v="ORD7397"/>
    <s v="CUST280"/>
    <x v="2"/>
    <s v="Office"/>
    <s v="North"/>
    <s v="Arjun"/>
    <n v="7"/>
    <n v="29875"/>
    <n v="209125"/>
    <d v="2025-12-26T00:00:00"/>
    <s v="high sales"/>
    <x v="11"/>
    <x v="97"/>
  </r>
  <r>
    <s v="ORD2867"/>
    <s v="CUST498"/>
    <x v="4"/>
    <s v="Accessories"/>
    <s v="South"/>
    <s v="Neha"/>
    <n v="13"/>
    <n v="2639"/>
    <n v="34307"/>
    <d v="2025-12-31T00:00:00"/>
    <s v="normal sales"/>
    <x v="11"/>
    <x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14371-A932-4CB4-A451-7EEFDE77CF63}"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3"/>
    </i>
    <i>
      <x v="2"/>
    </i>
    <i t="grand">
      <x/>
    </i>
  </rowItems>
  <colItems count="1">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F9DFD-A2FA-4522-A126-9E5228A8E201}"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4">
    <pivotField showAll="0"/>
    <pivotField showAll="0"/>
    <pivotField showAll="0"/>
    <pivotField showAll="0"/>
    <pivotField showAll="0"/>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3"/>
    </i>
    <i>
      <x v="4"/>
    </i>
    <i>
      <x v="1"/>
    </i>
    <i>
      <x v="2"/>
    </i>
    <i>
      <x/>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5F4BA-BB8E-4A2A-9341-FCD8B2322F4F}"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showAll="0"/>
    <pivotField showAll="0"/>
    <pivotField showAll="0"/>
    <pivotField showAll="0">
      <items count="4">
        <item x="0"/>
        <item h="1" x="1"/>
        <item h="1" x="2"/>
        <item t="default"/>
      </items>
    </pivotField>
    <pivotField showAll="0">
      <items count="5">
        <item x="0"/>
        <item x="1"/>
        <item x="3"/>
        <item x="2"/>
        <item t="default"/>
      </items>
    </pivotField>
    <pivotField showAll="0"/>
    <pivotField showAll="0"/>
    <pivotField showAll="0"/>
    <pivotField dataField="1" showAll="0"/>
    <pivotField numFmtId="14"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2B3E8-56E2-4CCF-950D-A985806D4D89}"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numFmtId="14" showAll="0"/>
    <pivotField showAll="0"/>
    <pivotField showAll="0"/>
  </pivotFields>
  <rowFields count="1">
    <field x="3"/>
  </rowFields>
  <rowItems count="4">
    <i>
      <x/>
    </i>
    <i>
      <x v="1"/>
    </i>
    <i>
      <x v="2"/>
    </i>
    <i t="grand">
      <x/>
    </i>
  </rowItems>
  <colItems count="1">
    <i/>
  </colItems>
  <dataFields count="1">
    <dataField name="Sum of Total_Sales" fld="8" baseField="0" baseItem="0"/>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585F5-68F9-4A2D-B64C-E83119B42FB4}"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showAll="0"/>
    <pivotField showAll="0">
      <items count="6">
        <item x="4"/>
        <item x="0"/>
        <item x="3"/>
        <item x="2"/>
        <item x="1"/>
        <item t="default"/>
      </items>
    </pivotField>
    <pivotField showAll="0"/>
    <pivotField showAll="0"/>
    <pivotField showAll="0"/>
    <pivotField showAll="0"/>
    <pivotField showAll="0"/>
    <pivotField showAll="0"/>
    <pivotField numFmtId="14" showAll="0"/>
    <pivotField showAll="0"/>
    <pivotField axis="axisRow" showAll="0">
      <items count="13">
        <item x="0"/>
        <item x="1"/>
        <item x="2"/>
        <item x="3"/>
        <item x="4"/>
        <item x="5"/>
        <item x="6"/>
        <item x="7"/>
        <item x="8"/>
        <item x="9"/>
        <item x="10"/>
        <item x="11"/>
        <item t="default"/>
      </items>
    </pivotField>
    <pivotField dataField="1" numFmtId="1" showAll="0">
      <items count="100">
        <item x="50"/>
        <item x="67"/>
        <item x="16"/>
        <item x="33"/>
        <item x="14"/>
        <item x="56"/>
        <item x="98"/>
        <item x="70"/>
        <item x="22"/>
        <item x="63"/>
        <item x="4"/>
        <item x="52"/>
        <item x="6"/>
        <item x="84"/>
        <item x="53"/>
        <item x="96"/>
        <item x="18"/>
        <item x="47"/>
        <item x="25"/>
        <item x="15"/>
        <item x="13"/>
        <item x="3"/>
        <item x="21"/>
        <item x="74"/>
        <item x="87"/>
        <item x="27"/>
        <item x="7"/>
        <item x="49"/>
        <item x="78"/>
        <item x="68"/>
        <item x="65"/>
        <item x="36"/>
        <item x="23"/>
        <item x="88"/>
        <item x="73"/>
        <item x="79"/>
        <item x="26"/>
        <item x="86"/>
        <item x="44"/>
        <item x="61"/>
        <item x="9"/>
        <item x="95"/>
        <item x="35"/>
        <item x="30"/>
        <item x="8"/>
        <item x="0"/>
        <item x="75"/>
        <item x="97"/>
        <item x="59"/>
        <item x="51"/>
        <item x="40"/>
        <item x="41"/>
        <item x="31"/>
        <item x="66"/>
        <item x="24"/>
        <item x="80"/>
        <item x="19"/>
        <item x="34"/>
        <item x="46"/>
        <item x="20"/>
        <item x="2"/>
        <item x="81"/>
        <item x="89"/>
        <item x="32"/>
        <item x="5"/>
        <item x="58"/>
        <item x="62"/>
        <item x="17"/>
        <item x="82"/>
        <item x="60"/>
        <item x="38"/>
        <item x="28"/>
        <item x="91"/>
        <item x="54"/>
        <item x="29"/>
        <item x="45"/>
        <item x="55"/>
        <item x="94"/>
        <item x="57"/>
        <item x="64"/>
        <item x="72"/>
        <item x="71"/>
        <item x="92"/>
        <item x="69"/>
        <item x="12"/>
        <item x="48"/>
        <item x="77"/>
        <item x="76"/>
        <item x="93"/>
        <item x="10"/>
        <item x="90"/>
        <item x="43"/>
        <item x="11"/>
        <item x="1"/>
        <item x="39"/>
        <item x="85"/>
        <item x="83"/>
        <item x="42"/>
        <item x="37"/>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743ED-A2E2-4907-833E-E6B0F319D4F9}"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3">
    <pivotField showAll="0"/>
    <pivotField showAll="0"/>
    <pivotField axis="axisRow" showAll="0">
      <items count="6">
        <item x="4"/>
        <item x="0"/>
        <item x="3"/>
        <item x="2"/>
        <item x="1"/>
        <item t="default"/>
      </items>
    </pivotField>
    <pivotField showAll="0"/>
    <pivotField showAll="0"/>
    <pivotField showAll="0"/>
    <pivotField showAll="0"/>
    <pivotField showAll="0"/>
    <pivotField dataField="1" showAll="0"/>
    <pivotField numFmtId="14" showAll="0"/>
    <pivotField showAll="0"/>
    <pivotField axis="axisCol" showAll="0">
      <items count="13">
        <item x="0"/>
        <item x="1"/>
        <item x="2"/>
        <item x="3"/>
        <item x="4"/>
        <item x="5"/>
        <item x="6"/>
        <item x="7"/>
        <item x="8"/>
        <item x="9"/>
        <item x="10"/>
        <item x="11"/>
        <item t="default"/>
      </items>
    </pivotField>
    <pivotField numFmtId="1" showAll="0"/>
  </pivotFields>
  <rowFields count="1">
    <field x="2"/>
  </rowFields>
  <rowItems count="6">
    <i>
      <x/>
    </i>
    <i>
      <x v="1"/>
    </i>
    <i>
      <x v="2"/>
    </i>
    <i>
      <x v="3"/>
    </i>
    <i>
      <x v="4"/>
    </i>
    <i t="grand">
      <x/>
    </i>
  </rowItems>
  <colFields count="1">
    <field x="11"/>
  </colFields>
  <colItems count="13">
    <i>
      <x/>
    </i>
    <i>
      <x v="1"/>
    </i>
    <i>
      <x v="2"/>
    </i>
    <i>
      <x v="3"/>
    </i>
    <i>
      <x v="4"/>
    </i>
    <i>
      <x v="5"/>
    </i>
    <i>
      <x v="6"/>
    </i>
    <i>
      <x v="7"/>
    </i>
    <i>
      <x v="8"/>
    </i>
    <i>
      <x v="9"/>
    </i>
    <i>
      <x v="10"/>
    </i>
    <i>
      <x v="11"/>
    </i>
    <i t="grand">
      <x/>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C3F61E-D3EB-4691-A5B0-567553079BD4}" sourceName="Category">
  <pivotTables>
    <pivotTable tabId="4" name="PivotTable3"/>
  </pivotTables>
  <data>
    <tabular pivotCacheId="114133279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96F1ED-F377-4318-A2D8-9A0279A45503}" sourceName="Region">
  <pivotTables>
    <pivotTable tabId="4" name="PivotTable3"/>
  </pivotTables>
  <data>
    <tabular pivotCacheId="114133279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F4108B8-E8A2-4D07-A65C-E7B79B46E9F2}" sourceName="Order_Date">
  <pivotTables>
    <pivotTable tabId="4" name="PivotTable3"/>
  </pivotTables>
  <data>
    <tabular pivotCacheId="1141332791">
      <items count="94">
        <i x="0" s="1"/>
        <i x="4" s="1"/>
        <i x="6" s="1"/>
        <i x="7" s="1"/>
        <i x="16" s="1"/>
        <i x="17" s="1"/>
        <i x="19" s="1"/>
        <i x="20" s="1"/>
        <i x="25" s="1"/>
        <i x="28" s="1"/>
        <i x="29" s="1"/>
        <i x="32" s="1"/>
        <i x="36" s="1"/>
        <i x="41" s="1"/>
        <i x="44" s="1"/>
        <i x="46" s="1"/>
        <i x="48" s="1"/>
        <i x="50" s="1"/>
        <i x="53" s="1"/>
        <i x="56" s="1"/>
        <i x="63" s="1"/>
        <i x="65" s="1"/>
        <i x="66" s="1"/>
        <i x="67" s="1"/>
        <i x="70" s="1"/>
        <i x="72" s="1"/>
        <i x="74" s="1"/>
        <i x="80" s="1"/>
        <i x="81" s="1"/>
        <i x="87" s="1"/>
        <i x="89" s="1"/>
        <i x="90" s="1"/>
        <i x="91" s="1"/>
        <i x="93" s="1"/>
        <i x="1" s="1" nd="1"/>
        <i x="2" s="1" nd="1"/>
        <i x="3" s="1" nd="1"/>
        <i x="5" s="1" nd="1"/>
        <i x="8" s="1" nd="1"/>
        <i x="9" s="1" nd="1"/>
        <i x="10" s="1" nd="1"/>
        <i x="11" s="1" nd="1"/>
        <i x="12" s="1" nd="1"/>
        <i x="13" s="1" nd="1"/>
        <i x="14" s="1" nd="1"/>
        <i x="15" s="1" nd="1"/>
        <i x="18" s="1" nd="1"/>
        <i x="21" s="1" nd="1"/>
        <i x="22" s="1" nd="1"/>
        <i x="23" s="1" nd="1"/>
        <i x="24" s="1" nd="1"/>
        <i x="26" s="1" nd="1"/>
        <i x="27" s="1" nd="1"/>
        <i x="30" s="1" nd="1"/>
        <i x="31" s="1" nd="1"/>
        <i x="33" s="1" nd="1"/>
        <i x="34" s="1" nd="1"/>
        <i x="35" s="1" nd="1"/>
        <i x="37" s="1" nd="1"/>
        <i x="38" s="1" nd="1"/>
        <i x="39" s="1" nd="1"/>
        <i x="40" s="1" nd="1"/>
        <i x="42" s="1" nd="1"/>
        <i x="43" s="1" nd="1"/>
        <i x="45" s="1" nd="1"/>
        <i x="47" s="1" nd="1"/>
        <i x="49" s="1" nd="1"/>
        <i x="51" s="1" nd="1"/>
        <i x="52" s="1" nd="1"/>
        <i x="54" s="1" nd="1"/>
        <i x="55" s="1" nd="1"/>
        <i x="57" s="1" nd="1"/>
        <i x="58" s="1" nd="1"/>
        <i x="59" s="1" nd="1"/>
        <i x="60" s="1" nd="1"/>
        <i x="61" s="1" nd="1"/>
        <i x="62" s="1" nd="1"/>
        <i x="64" s="1" nd="1"/>
        <i x="68" s="1" nd="1"/>
        <i x="69" s="1" nd="1"/>
        <i x="71" s="1" nd="1"/>
        <i x="73" s="1" nd="1"/>
        <i x="75" s="1" nd="1"/>
        <i x="76" s="1" nd="1"/>
        <i x="77" s="1" nd="1"/>
        <i x="78" s="1" nd="1"/>
        <i x="79" s="1" nd="1"/>
        <i x="82" s="1" nd="1"/>
        <i x="83" s="1" nd="1"/>
        <i x="84" s="1" nd="1"/>
        <i x="85" s="1" nd="1"/>
        <i x="86" s="1" nd="1"/>
        <i x="88" s="1" nd="1"/>
        <i x="9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4D8199-4E67-4B0F-91DD-BB944BC292A3}" cache="Slicer_Category" caption="Category" rowHeight="251883"/>
  <slicer name="Region" xr10:uid="{4FB622EF-78B5-471A-897D-8301EACAC167}" cache="Slicer_Region" caption="Region" rowHeight="251883"/>
  <slicer name="Order_Date" xr10:uid="{14E89C28-FC11-44AC-8AA7-88A6B3CCAD77}" cache="Slicer_Order_Date" caption="Order_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0293-85E0-4BD1-BBED-AF6245A6BF58}">
  <dimension ref="A3:B8"/>
  <sheetViews>
    <sheetView workbookViewId="0">
      <selection activeCell="E4" sqref="E4"/>
    </sheetView>
  </sheetViews>
  <sheetFormatPr defaultRowHeight="14.5" x14ac:dyDescent="0.35"/>
  <cols>
    <col min="1" max="1" width="12.453125" bestFit="1" customWidth="1"/>
    <col min="2" max="2" width="16.54296875" bestFit="1" customWidth="1"/>
  </cols>
  <sheetData>
    <row r="3" spans="1:2" x14ac:dyDescent="0.35">
      <c r="A3" s="4" t="s">
        <v>222</v>
      </c>
      <c r="B3" t="s">
        <v>224</v>
      </c>
    </row>
    <row r="4" spans="1:2" x14ac:dyDescent="0.35">
      <c r="A4" s="5" t="s">
        <v>212</v>
      </c>
      <c r="B4" s="6">
        <v>10181255</v>
      </c>
    </row>
    <row r="5" spans="1:2" x14ac:dyDescent="0.35">
      <c r="A5" s="5" t="s">
        <v>214</v>
      </c>
      <c r="B5" s="6">
        <v>6712447</v>
      </c>
    </row>
    <row r="6" spans="1:2" x14ac:dyDescent="0.35">
      <c r="A6" s="5" t="s">
        <v>213</v>
      </c>
      <c r="B6" s="6">
        <v>5788120</v>
      </c>
    </row>
    <row r="7" spans="1:2" x14ac:dyDescent="0.35">
      <c r="A7" s="5" t="s">
        <v>211</v>
      </c>
      <c r="B7" s="6">
        <v>5234451</v>
      </c>
    </row>
    <row r="8" spans="1:2" x14ac:dyDescent="0.35">
      <c r="A8" s="5" t="s">
        <v>223</v>
      </c>
      <c r="B8" s="6">
        <v>27916273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34DBE-80F1-426A-983E-27EDEBBD3234}">
  <dimension ref="A1:B7"/>
  <sheetViews>
    <sheetView workbookViewId="0">
      <selection activeCell="G30" sqref="G30"/>
    </sheetView>
  </sheetViews>
  <sheetFormatPr defaultRowHeight="14.5" x14ac:dyDescent="0.35"/>
  <cols>
    <col min="1" max="1" width="12.453125" bestFit="1" customWidth="1"/>
    <col min="2" max="2" width="16.54296875" bestFit="1" customWidth="1"/>
  </cols>
  <sheetData>
    <row r="1" spans="1:2" x14ac:dyDescent="0.35">
      <c r="A1" s="4" t="s">
        <v>222</v>
      </c>
      <c r="B1" t="s">
        <v>224</v>
      </c>
    </row>
    <row r="2" spans="1:2" x14ac:dyDescent="0.35">
      <c r="A2" s="5" t="s">
        <v>216</v>
      </c>
      <c r="B2" s="6">
        <v>5864530</v>
      </c>
    </row>
    <row r="3" spans="1:2" x14ac:dyDescent="0.35">
      <c r="A3" s="5" t="s">
        <v>215</v>
      </c>
      <c r="B3" s="6">
        <v>5795163</v>
      </c>
    </row>
    <row r="4" spans="1:2" x14ac:dyDescent="0.35">
      <c r="A4" s="5" t="s">
        <v>218</v>
      </c>
      <c r="B4" s="6">
        <v>5574108</v>
      </c>
    </row>
    <row r="5" spans="1:2" x14ac:dyDescent="0.35">
      <c r="A5" s="5" t="s">
        <v>219</v>
      </c>
      <c r="B5" s="6">
        <v>5443300</v>
      </c>
    </row>
    <row r="6" spans="1:2" x14ac:dyDescent="0.35">
      <c r="A6" s="5" t="s">
        <v>217</v>
      </c>
      <c r="B6" s="6">
        <v>5239172</v>
      </c>
    </row>
    <row r="7" spans="1:2" x14ac:dyDescent="0.35">
      <c r="A7" s="5" t="s">
        <v>223</v>
      </c>
      <c r="B7" s="6">
        <v>27916273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3CEC-F87D-4E0B-8A2C-4F4D7702BD0A}">
  <dimension ref="A3:B16"/>
  <sheetViews>
    <sheetView workbookViewId="0">
      <selection activeCell="B9" sqref="A3:B16"/>
    </sheetView>
  </sheetViews>
  <sheetFormatPr defaultRowHeight="14.5" x14ac:dyDescent="0.35"/>
  <cols>
    <col min="1" max="1" width="12.453125" bestFit="1" customWidth="1"/>
    <col min="2" max="2" width="16.54296875" bestFit="1" customWidth="1"/>
  </cols>
  <sheetData>
    <row r="3" spans="1:2" x14ac:dyDescent="0.35">
      <c r="A3" s="4" t="s">
        <v>222</v>
      </c>
      <c r="B3" t="s">
        <v>224</v>
      </c>
    </row>
    <row r="4" spans="1:2" x14ac:dyDescent="0.35">
      <c r="A4" s="5" t="s">
        <v>225</v>
      </c>
      <c r="B4" s="6">
        <v>808688</v>
      </c>
    </row>
    <row r="5" spans="1:2" x14ac:dyDescent="0.35">
      <c r="A5" s="5" t="s">
        <v>226</v>
      </c>
      <c r="B5" s="6">
        <v>133335</v>
      </c>
    </row>
    <row r="6" spans="1:2" x14ac:dyDescent="0.35">
      <c r="A6" s="5" t="s">
        <v>227</v>
      </c>
      <c r="B6" s="6">
        <v>516453</v>
      </c>
    </row>
    <row r="7" spans="1:2" x14ac:dyDescent="0.35">
      <c r="A7" s="5" t="s">
        <v>229</v>
      </c>
      <c r="B7" s="6">
        <v>869877</v>
      </c>
    </row>
    <row r="8" spans="1:2" x14ac:dyDescent="0.35">
      <c r="A8" s="5" t="s">
        <v>230</v>
      </c>
      <c r="B8" s="6">
        <v>23817</v>
      </c>
    </row>
    <row r="9" spans="1:2" x14ac:dyDescent="0.35">
      <c r="A9" s="5" t="s">
        <v>231</v>
      </c>
      <c r="B9" s="6">
        <v>1208803</v>
      </c>
    </row>
    <row r="10" spans="1:2" x14ac:dyDescent="0.35">
      <c r="A10" s="5" t="s">
        <v>232</v>
      </c>
      <c r="B10" s="6">
        <v>925635</v>
      </c>
    </row>
    <row r="11" spans="1:2" x14ac:dyDescent="0.35">
      <c r="A11" s="5" t="s">
        <v>233</v>
      </c>
      <c r="B11" s="6">
        <v>747470</v>
      </c>
    </row>
    <row r="12" spans="1:2" x14ac:dyDescent="0.35">
      <c r="A12" s="5" t="s">
        <v>234</v>
      </c>
      <c r="B12" s="6">
        <v>1157852</v>
      </c>
    </row>
    <row r="13" spans="1:2" x14ac:dyDescent="0.35">
      <c r="A13" s="5" t="s">
        <v>235</v>
      </c>
      <c r="B13" s="6">
        <v>500259</v>
      </c>
    </row>
    <row r="14" spans="1:2" x14ac:dyDescent="0.35">
      <c r="A14" s="5" t="s">
        <v>236</v>
      </c>
      <c r="B14" s="6">
        <v>2309662</v>
      </c>
    </row>
    <row r="15" spans="1:2" x14ac:dyDescent="0.35">
      <c r="A15" s="5" t="s">
        <v>237</v>
      </c>
      <c r="B15" s="6">
        <v>244434</v>
      </c>
    </row>
    <row r="16" spans="1:2" x14ac:dyDescent="0.35">
      <c r="A16" s="5" t="s">
        <v>223</v>
      </c>
      <c r="B16" s="6">
        <v>9446285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21A7-DA7F-4998-94D6-2B1A84DADB4B}">
  <dimension ref="A3:B7"/>
  <sheetViews>
    <sheetView workbookViewId="0">
      <selection activeCell="B5" sqref="A3:B7"/>
    </sheetView>
  </sheetViews>
  <sheetFormatPr defaultRowHeight="14.5" x14ac:dyDescent="0.35"/>
  <cols>
    <col min="1" max="1" width="12.453125" bestFit="1" customWidth="1"/>
    <col min="2" max="2" width="16.54296875" bestFit="1" customWidth="1"/>
  </cols>
  <sheetData>
    <row r="3" spans="1:2" x14ac:dyDescent="0.35">
      <c r="A3" s="4" t="s">
        <v>222</v>
      </c>
      <c r="B3" t="s">
        <v>224</v>
      </c>
    </row>
    <row r="4" spans="1:2" x14ac:dyDescent="0.35">
      <c r="A4" s="5" t="s">
        <v>210</v>
      </c>
      <c r="B4" s="6">
        <v>9446285</v>
      </c>
    </row>
    <row r="5" spans="1:2" x14ac:dyDescent="0.35">
      <c r="A5" s="5" t="s">
        <v>209</v>
      </c>
      <c r="B5" s="6">
        <v>10131836</v>
      </c>
    </row>
    <row r="6" spans="1:2" x14ac:dyDescent="0.35">
      <c r="A6" s="5" t="s">
        <v>208</v>
      </c>
      <c r="B6" s="6">
        <v>8338152</v>
      </c>
    </row>
    <row r="7" spans="1:2" x14ac:dyDescent="0.35">
      <c r="A7" s="5" t="s">
        <v>223</v>
      </c>
      <c r="B7" s="6">
        <v>27916273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728C-F54F-46BF-9006-1590B9A6552F}">
  <dimension ref="A3:B16"/>
  <sheetViews>
    <sheetView workbookViewId="0">
      <selection activeCell="C4" sqref="C4"/>
    </sheetView>
  </sheetViews>
  <sheetFormatPr defaultRowHeight="14.5" x14ac:dyDescent="0.35"/>
  <cols>
    <col min="1" max="1" width="12.453125" bestFit="1" customWidth="1"/>
    <col min="2" max="2" width="11.54296875" bestFit="1" customWidth="1"/>
    <col min="3" max="6" width="7.81640625" bestFit="1" customWidth="1"/>
    <col min="7" max="7" width="10.36328125" bestFit="1" customWidth="1"/>
    <col min="8" max="30" width="5.81640625" bestFit="1" customWidth="1"/>
    <col min="31" max="100" width="6.81640625" bestFit="1" customWidth="1"/>
    <col min="101" max="101" width="10.36328125" bestFit="1" customWidth="1"/>
  </cols>
  <sheetData>
    <row r="3" spans="1:2" x14ac:dyDescent="0.35">
      <c r="A3" s="4" t="s">
        <v>222</v>
      </c>
      <c r="B3" t="s">
        <v>239</v>
      </c>
    </row>
    <row r="4" spans="1:2" x14ac:dyDescent="0.35">
      <c r="A4" s="5" t="s">
        <v>225</v>
      </c>
      <c r="B4" s="6">
        <v>403465.60000000003</v>
      </c>
    </row>
    <row r="5" spans="1:2" x14ac:dyDescent="0.35">
      <c r="A5" s="5" t="s">
        <v>226</v>
      </c>
      <c r="B5" s="6">
        <v>153285.80000000002</v>
      </c>
    </row>
    <row r="6" spans="1:2" x14ac:dyDescent="0.35">
      <c r="A6" s="5" t="s">
        <v>227</v>
      </c>
      <c r="B6" s="6">
        <v>139867.6</v>
      </c>
    </row>
    <row r="7" spans="1:2" x14ac:dyDescent="0.35">
      <c r="A7" s="5" t="s">
        <v>229</v>
      </c>
      <c r="B7" s="6">
        <v>851003.4</v>
      </c>
    </row>
    <row r="8" spans="1:2" x14ac:dyDescent="0.35">
      <c r="A8" s="5" t="s">
        <v>230</v>
      </c>
      <c r="B8" s="6">
        <v>272398</v>
      </c>
    </row>
    <row r="9" spans="1:2" x14ac:dyDescent="0.35">
      <c r="A9" s="5" t="s">
        <v>231</v>
      </c>
      <c r="B9" s="6">
        <v>274710.2</v>
      </c>
    </row>
    <row r="10" spans="1:2" x14ac:dyDescent="0.35">
      <c r="A10" s="5" t="s">
        <v>232</v>
      </c>
      <c r="B10" s="6">
        <v>330538.40000000002</v>
      </c>
    </row>
    <row r="11" spans="1:2" x14ac:dyDescent="0.35">
      <c r="A11" s="5" t="s">
        <v>233</v>
      </c>
      <c r="B11" s="6">
        <v>539025.80000000005</v>
      </c>
    </row>
    <row r="12" spans="1:2" x14ac:dyDescent="0.35">
      <c r="A12" s="5" t="s">
        <v>234</v>
      </c>
      <c r="B12" s="6">
        <v>674299.2</v>
      </c>
    </row>
    <row r="13" spans="1:2" x14ac:dyDescent="0.35">
      <c r="A13" s="5" t="s">
        <v>235</v>
      </c>
      <c r="B13" s="6">
        <v>504432.20000000007</v>
      </c>
    </row>
    <row r="14" spans="1:2" x14ac:dyDescent="0.35">
      <c r="A14" s="5" t="s">
        <v>236</v>
      </c>
      <c r="B14" s="6">
        <v>833208.79999999993</v>
      </c>
    </row>
    <row r="15" spans="1:2" x14ac:dyDescent="0.35">
      <c r="A15" s="5" t="s">
        <v>237</v>
      </c>
      <c r="B15" s="6">
        <v>607019.60000000009</v>
      </c>
    </row>
    <row r="16" spans="1:2" x14ac:dyDescent="0.35">
      <c r="A16" s="5" t="s">
        <v>223</v>
      </c>
      <c r="B16" s="6">
        <v>5583254.5999999996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40C8A-8492-41CE-9186-7F9669A5667A}">
  <dimension ref="A3:N10"/>
  <sheetViews>
    <sheetView workbookViewId="0">
      <selection activeCell="P13" sqref="P13"/>
    </sheetView>
  </sheetViews>
  <sheetFormatPr defaultRowHeight="14.5" x14ac:dyDescent="0.35"/>
  <cols>
    <col min="1" max="1" width="16.54296875" bestFit="1" customWidth="1"/>
    <col min="2" max="2" width="15.6328125" bestFit="1" customWidth="1"/>
    <col min="3" max="4" width="6.81640625" bestFit="1" customWidth="1"/>
    <col min="5" max="13" width="7.81640625" bestFit="1" customWidth="1"/>
    <col min="14" max="14" width="10.36328125" bestFit="1" customWidth="1"/>
    <col min="15" max="15" width="18.81640625" customWidth="1"/>
    <col min="16" max="16" width="6.81640625" bestFit="1" customWidth="1"/>
    <col min="17" max="17" width="5.81640625" bestFit="1" customWidth="1"/>
    <col min="18" max="19" width="6.81640625" bestFit="1" customWidth="1"/>
    <col min="20" max="21" width="7.81640625" bestFit="1" customWidth="1"/>
    <col min="22" max="22" width="6.81640625" bestFit="1" customWidth="1"/>
    <col min="23" max="23" width="11.6328125" bestFit="1" customWidth="1"/>
    <col min="24" max="24" width="7.81640625" bestFit="1" customWidth="1"/>
    <col min="25" max="25" width="5.81640625" bestFit="1" customWidth="1"/>
    <col min="26" max="26" width="7.81640625" bestFit="1" customWidth="1"/>
    <col min="27" max="32" width="6.81640625" bestFit="1" customWidth="1"/>
    <col min="33" max="33" width="10.54296875" bestFit="1" customWidth="1"/>
    <col min="34" max="34" width="8.1796875" bestFit="1" customWidth="1"/>
    <col min="35" max="35" width="4.81640625" bestFit="1" customWidth="1"/>
    <col min="36" max="36" width="6.81640625" bestFit="1" customWidth="1"/>
    <col min="37" max="37" width="4.81640625" bestFit="1" customWidth="1"/>
    <col min="38" max="40" width="6.81640625" bestFit="1" customWidth="1"/>
    <col min="41" max="41" width="7.81640625" bestFit="1" customWidth="1"/>
    <col min="42" max="42" width="5.81640625" bestFit="1" customWidth="1"/>
    <col min="43" max="43" width="6.81640625" bestFit="1" customWidth="1"/>
    <col min="44" max="44" width="7.81640625" bestFit="1" customWidth="1"/>
    <col min="45" max="45" width="10.90625" bestFit="1" customWidth="1"/>
    <col min="46" max="46" width="7.7265625" bestFit="1" customWidth="1"/>
    <col min="47" max="47" width="6.81640625" bestFit="1" customWidth="1"/>
    <col min="48" max="48" width="7.81640625" bestFit="1" customWidth="1"/>
    <col min="49" max="53" width="6.81640625" bestFit="1" customWidth="1"/>
    <col min="54" max="54" width="10.453125" bestFit="1" customWidth="1"/>
    <col min="55" max="55" width="10.36328125" bestFit="1" customWidth="1"/>
  </cols>
  <sheetData>
    <row r="3" spans="1:14" x14ac:dyDescent="0.35">
      <c r="A3" s="4" t="s">
        <v>224</v>
      </c>
      <c r="B3" s="4" t="s">
        <v>240</v>
      </c>
    </row>
    <row r="4" spans="1:14" x14ac:dyDescent="0.35">
      <c r="A4" s="4" t="s">
        <v>222</v>
      </c>
      <c r="B4" t="s">
        <v>225</v>
      </c>
      <c r="C4" t="s">
        <v>226</v>
      </c>
      <c r="D4" t="s">
        <v>227</v>
      </c>
      <c r="E4" t="s">
        <v>229</v>
      </c>
      <c r="F4" t="s">
        <v>230</v>
      </c>
      <c r="G4" t="s">
        <v>231</v>
      </c>
      <c r="H4" t="s">
        <v>232</v>
      </c>
      <c r="I4" t="s">
        <v>233</v>
      </c>
      <c r="J4" t="s">
        <v>234</v>
      </c>
      <c r="K4" t="s">
        <v>235</v>
      </c>
      <c r="L4" t="s">
        <v>236</v>
      </c>
      <c r="M4" t="s">
        <v>237</v>
      </c>
      <c r="N4" t="s">
        <v>223</v>
      </c>
    </row>
    <row r="5" spans="1:14" x14ac:dyDescent="0.35">
      <c r="A5" s="5" t="s">
        <v>207</v>
      </c>
      <c r="B5" s="6">
        <v>94716</v>
      </c>
      <c r="C5" s="6">
        <v>43405</v>
      </c>
      <c r="D5" s="6">
        <v>182885</v>
      </c>
      <c r="E5" s="6">
        <v>1080651</v>
      </c>
      <c r="F5" s="6">
        <v>279145</v>
      </c>
      <c r="G5" s="6"/>
      <c r="H5" s="6"/>
      <c r="I5" s="6">
        <v>886054</v>
      </c>
      <c r="J5" s="6">
        <v>867182</v>
      </c>
      <c r="K5" s="6">
        <v>646616</v>
      </c>
      <c r="L5" s="6">
        <v>1775010</v>
      </c>
      <c r="M5" s="6">
        <v>777906</v>
      </c>
      <c r="N5" s="6">
        <v>6633570</v>
      </c>
    </row>
    <row r="6" spans="1:14" x14ac:dyDescent="0.35">
      <c r="A6" s="5" t="s">
        <v>205</v>
      </c>
      <c r="B6" s="6">
        <v>277276</v>
      </c>
      <c r="C6" s="6">
        <v>62326</v>
      </c>
      <c r="D6" s="6"/>
      <c r="E6" s="6">
        <v>30510</v>
      </c>
      <c r="F6" s="6">
        <v>195566</v>
      </c>
      <c r="G6" s="6">
        <v>34405</v>
      </c>
      <c r="H6" s="6">
        <v>380613</v>
      </c>
      <c r="I6" s="6">
        <v>301888</v>
      </c>
      <c r="J6" s="6"/>
      <c r="K6" s="6">
        <v>1430830</v>
      </c>
      <c r="L6" s="6">
        <v>1418532</v>
      </c>
      <c r="M6" s="6">
        <v>705140</v>
      </c>
      <c r="N6" s="6">
        <v>4837086</v>
      </c>
    </row>
    <row r="7" spans="1:14" x14ac:dyDescent="0.35">
      <c r="A7" s="5" t="s">
        <v>203</v>
      </c>
      <c r="B7" s="6">
        <v>617680</v>
      </c>
      <c r="C7" s="6">
        <v>85680</v>
      </c>
      <c r="D7" s="6"/>
      <c r="E7" s="6">
        <v>1861120</v>
      </c>
      <c r="F7" s="6">
        <v>380642</v>
      </c>
      <c r="G7" s="6">
        <v>661716</v>
      </c>
      <c r="H7" s="6">
        <v>545022</v>
      </c>
      <c r="I7" s="6"/>
      <c r="J7" s="6">
        <v>598296</v>
      </c>
      <c r="K7" s="6">
        <v>424450</v>
      </c>
      <c r="L7" s="6"/>
      <c r="M7" s="6">
        <v>509492</v>
      </c>
      <c r="N7" s="6">
        <v>5684098</v>
      </c>
    </row>
    <row r="8" spans="1:14" x14ac:dyDescent="0.35">
      <c r="A8" s="5" t="s">
        <v>204</v>
      </c>
      <c r="B8" s="6">
        <v>310338</v>
      </c>
      <c r="C8" s="6">
        <v>4250</v>
      </c>
      <c r="D8" s="6">
        <v>516453</v>
      </c>
      <c r="E8" s="6"/>
      <c r="F8" s="6">
        <v>7917</v>
      </c>
      <c r="G8" s="6">
        <v>246942</v>
      </c>
      <c r="H8" s="6">
        <v>727057</v>
      </c>
      <c r="I8" s="6">
        <v>556423</v>
      </c>
      <c r="J8" s="6">
        <v>1598932</v>
      </c>
      <c r="K8" s="6">
        <v>20265</v>
      </c>
      <c r="L8" s="6">
        <v>230808</v>
      </c>
      <c r="M8" s="6">
        <v>1042560</v>
      </c>
      <c r="N8" s="6">
        <v>5261945</v>
      </c>
    </row>
    <row r="9" spans="1:14" x14ac:dyDescent="0.35">
      <c r="A9" s="5" t="s">
        <v>206</v>
      </c>
      <c r="B9" s="6">
        <v>717318</v>
      </c>
      <c r="C9" s="6">
        <v>570768</v>
      </c>
      <c r="D9" s="6"/>
      <c r="E9" s="6">
        <v>1282736</v>
      </c>
      <c r="F9" s="6">
        <v>498720</v>
      </c>
      <c r="G9" s="6">
        <v>430488</v>
      </c>
      <c r="H9" s="6"/>
      <c r="I9" s="6">
        <v>950764</v>
      </c>
      <c r="J9" s="6">
        <v>307086</v>
      </c>
      <c r="K9" s="6"/>
      <c r="L9" s="6">
        <v>741694</v>
      </c>
      <c r="M9" s="6"/>
      <c r="N9" s="6">
        <v>5499574</v>
      </c>
    </row>
    <row r="10" spans="1:14" x14ac:dyDescent="0.35">
      <c r="A10" s="5" t="s">
        <v>223</v>
      </c>
      <c r="B10" s="6">
        <v>2017328</v>
      </c>
      <c r="C10" s="6">
        <v>766429</v>
      </c>
      <c r="D10" s="6">
        <v>699338</v>
      </c>
      <c r="E10" s="6">
        <v>4255017</v>
      </c>
      <c r="F10" s="6">
        <v>1361990</v>
      </c>
      <c r="G10" s="6">
        <v>1373551</v>
      </c>
      <c r="H10" s="6">
        <v>1652692</v>
      </c>
      <c r="I10" s="6">
        <v>2695129</v>
      </c>
      <c r="J10" s="6">
        <v>3371496</v>
      </c>
      <c r="K10" s="6">
        <v>2522161</v>
      </c>
      <c r="L10" s="6">
        <v>4166044</v>
      </c>
      <c r="M10" s="6">
        <v>3035098</v>
      </c>
      <c r="N10" s="6">
        <v>27916273</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0FD6B37-80B4-44AC-9D9E-607B39780760}">
          <x14:colorSeries rgb="FF000000"/>
          <x14:colorNegative rgb="FF0070C0"/>
          <x14:colorAxis rgb="FF000000"/>
          <x14:colorMarkers rgb="FF0070C0"/>
          <x14:colorFirst rgb="FF0070C0"/>
          <x14:colorLast rgb="FF0070C0"/>
          <x14:colorHigh rgb="FF0070C0"/>
          <x14:colorLow rgb="FF0070C0"/>
          <x14:sparklines>
            <x14:sparkline>
              <xm:f>'Product Sales Trend'!B5:N5</xm:f>
              <xm:sqref>O5</xm:sqref>
            </x14:sparkline>
            <x14:sparkline>
              <xm:f>'Product Sales Trend'!B6:N6</xm:f>
              <xm:sqref>O6</xm:sqref>
            </x14:sparkline>
            <x14:sparkline>
              <xm:f>'Product Sales Trend'!B7:N7</xm:f>
              <xm:sqref>O7</xm:sqref>
            </x14:sparkline>
            <x14:sparkline>
              <xm:f>'Product Sales Trend'!B8:N8</xm:f>
              <xm:sqref>O8</xm:sqref>
            </x14:sparkline>
            <x14:sparkline>
              <xm:f>'Product Sales Trend'!B9:N9</xm:f>
              <xm:sqref>O9</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222E-DBDE-4F34-B0D2-6D3D567AF45C}">
  <dimension ref="A1:B3"/>
  <sheetViews>
    <sheetView topLeftCell="G1" workbookViewId="0">
      <selection activeCell="M17" sqref="M17"/>
    </sheetView>
  </sheetViews>
  <sheetFormatPr defaultRowHeight="14.5" x14ac:dyDescent="0.35"/>
  <cols>
    <col min="1" max="1" width="12.90625" bestFit="1" customWidth="1"/>
  </cols>
  <sheetData>
    <row r="1" spans="1:2" x14ac:dyDescent="0.35">
      <c r="A1" s="7" t="s">
        <v>241</v>
      </c>
      <c r="B1" s="7">
        <f>SUM(data!I2:I100)</f>
        <v>27916273</v>
      </c>
    </row>
    <row r="2" spans="1:2" x14ac:dyDescent="0.35">
      <c r="A2" s="7" t="s">
        <v>242</v>
      </c>
      <c r="B2" s="7">
        <f>SUM(data!G2:G100)</f>
        <v>1143</v>
      </c>
    </row>
    <row r="3" spans="1:2" x14ac:dyDescent="0.35">
      <c r="A3" s="7" t="s">
        <v>243</v>
      </c>
      <c r="B3" s="7">
        <f>AVERAGE(data!I2:I100)</f>
        <v>281982.55555555556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75C0-E5A2-4C69-946C-A9CA73DC6A33}">
  <dimension ref="A1:B7"/>
  <sheetViews>
    <sheetView tabSelected="1" workbookViewId="0">
      <selection activeCell="E7" sqref="E7"/>
    </sheetView>
  </sheetViews>
  <sheetFormatPr defaultRowHeight="14.5" x14ac:dyDescent="0.35"/>
  <cols>
    <col min="1" max="1" width="9.6328125" bestFit="1" customWidth="1"/>
    <col min="2" max="2" width="49.6328125" customWidth="1"/>
  </cols>
  <sheetData>
    <row r="1" spans="1:2" x14ac:dyDescent="0.35">
      <c r="A1">
        <v>1</v>
      </c>
      <c r="B1" t="s">
        <v>244</v>
      </c>
    </row>
    <row r="2" spans="1:2" x14ac:dyDescent="0.35">
      <c r="A2">
        <v>2</v>
      </c>
      <c r="B2" t="s">
        <v>245</v>
      </c>
    </row>
    <row r="3" spans="1:2" x14ac:dyDescent="0.35">
      <c r="A3">
        <v>3</v>
      </c>
      <c r="B3" t="s">
        <v>246</v>
      </c>
    </row>
    <row r="4" spans="1:2" x14ac:dyDescent="0.35">
      <c r="A4">
        <v>4</v>
      </c>
      <c r="B4" t="s">
        <v>247</v>
      </c>
    </row>
    <row r="7" spans="1:2" ht="148" x14ac:dyDescent="0.35">
      <c r="A7" t="s">
        <v>248</v>
      </c>
      <c r="B7" s="8" t="s">
        <v>249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2B02-4A96-4C3E-89D0-C2918D1400C6}">
  <dimension ref="A1:M103"/>
  <sheetViews>
    <sheetView topLeftCell="A72" workbookViewId="0">
      <selection activeCell="E15" sqref="A1:M100"/>
    </sheetView>
  </sheetViews>
  <sheetFormatPr defaultRowHeight="14.5" x14ac:dyDescent="0.35"/>
  <cols>
    <col min="1" max="1" width="10.26953125" bestFit="1" customWidth="1"/>
    <col min="2" max="2" width="14.90625" bestFit="1" customWidth="1"/>
    <col min="3" max="3" width="9.26953125" bestFit="1" customWidth="1"/>
    <col min="4" max="4" width="10.36328125" bestFit="1" customWidth="1"/>
    <col min="5" max="5" width="8.1796875" bestFit="1" customWidth="1"/>
    <col min="6" max="6" width="11.54296875" bestFit="1" customWidth="1"/>
    <col min="7" max="7" width="10" bestFit="1" customWidth="1"/>
    <col min="8" max="8" width="11.7265625" bestFit="1" customWidth="1"/>
    <col min="9" max="9" width="13.1796875" bestFit="1" customWidth="1"/>
    <col min="10" max="10" width="12.90625" bestFit="1" customWidth="1"/>
    <col min="11" max="11" width="11.08984375" bestFit="1" customWidth="1"/>
    <col min="12" max="12" width="11.81640625" bestFit="1" customWidth="1"/>
  </cols>
  <sheetData>
    <row r="1" spans="1:13" ht="18.5" x14ac:dyDescent="0.45">
      <c r="A1" s="1" t="s">
        <v>0</v>
      </c>
      <c r="B1" s="1" t="s">
        <v>1</v>
      </c>
      <c r="C1" s="1" t="s">
        <v>2</v>
      </c>
      <c r="D1" s="1" t="s">
        <v>3</v>
      </c>
      <c r="E1" s="1" t="s">
        <v>4</v>
      </c>
      <c r="F1" s="1" t="s">
        <v>5</v>
      </c>
      <c r="G1" s="1" t="s">
        <v>6</v>
      </c>
      <c r="H1" s="1" t="s">
        <v>7</v>
      </c>
      <c r="I1" s="1" t="s">
        <v>8</v>
      </c>
      <c r="J1" s="1" t="s">
        <v>9</v>
      </c>
      <c r="K1" s="1" t="s">
        <v>221</v>
      </c>
      <c r="L1" s="1" t="s">
        <v>228</v>
      </c>
      <c r="M1" s="1" t="s">
        <v>238</v>
      </c>
    </row>
    <row r="2" spans="1:13" x14ac:dyDescent="0.35">
      <c r="A2" t="s">
        <v>29</v>
      </c>
      <c r="B2" t="s">
        <v>136</v>
      </c>
      <c r="C2" t="s">
        <v>205</v>
      </c>
      <c r="D2" t="s">
        <v>210</v>
      </c>
      <c r="E2" t="s">
        <v>212</v>
      </c>
      <c r="F2" t="s">
        <v>215</v>
      </c>
      <c r="G2">
        <v>8</v>
      </c>
      <c r="H2">
        <v>23876</v>
      </c>
      <c r="I2">
        <f>G2*H2</f>
        <v>191008</v>
      </c>
      <c r="J2" s="2">
        <v>45292</v>
      </c>
      <c r="K2" t="str">
        <f>IF(I2&gt;100000,"high sales","normal sales")</f>
        <v>high sales</v>
      </c>
      <c r="L2" t="str">
        <f>TEXT(J2,"MMM")</f>
        <v>Jan</v>
      </c>
      <c r="M2" s="3">
        <f>I2*20%</f>
        <v>38201.599999999999</v>
      </c>
    </row>
    <row r="3" spans="1:13" x14ac:dyDescent="0.35">
      <c r="A3" t="s">
        <v>24</v>
      </c>
      <c r="B3" t="s">
        <v>131</v>
      </c>
      <c r="C3" t="s">
        <v>206</v>
      </c>
      <c r="D3" t="s">
        <v>209</v>
      </c>
      <c r="E3" t="s">
        <v>214</v>
      </c>
      <c r="F3" t="s">
        <v>219</v>
      </c>
      <c r="G3">
        <v>18</v>
      </c>
      <c r="H3">
        <v>39851</v>
      </c>
      <c r="I3">
        <f>G3*H3</f>
        <v>717318</v>
      </c>
      <c r="J3" s="2">
        <v>45303</v>
      </c>
      <c r="K3" t="str">
        <f>IF(I3&gt;100000,"high sales","normal sales")</f>
        <v>high sales</v>
      </c>
      <c r="L3" t="str">
        <f>TEXT(J3,"MMM")</f>
        <v>Jan</v>
      </c>
      <c r="M3" s="3">
        <f t="shared" ref="M3:M66" si="0">I3*20%</f>
        <v>143463.6</v>
      </c>
    </row>
    <row r="4" spans="1:13" x14ac:dyDescent="0.35">
      <c r="A4" t="s">
        <v>77</v>
      </c>
      <c r="B4" t="s">
        <v>177</v>
      </c>
      <c r="C4" t="s">
        <v>204</v>
      </c>
      <c r="D4" t="s">
        <v>208</v>
      </c>
      <c r="E4" t="s">
        <v>212</v>
      </c>
      <c r="F4" t="s">
        <v>219</v>
      </c>
      <c r="G4">
        <v>18</v>
      </c>
      <c r="H4">
        <v>17241</v>
      </c>
      <c r="I4">
        <f>G4*H4</f>
        <v>310338</v>
      </c>
      <c r="J4" s="2">
        <v>45304</v>
      </c>
      <c r="K4" t="str">
        <f>IF(I4&gt;100000,"high sales","normal sales")</f>
        <v>high sales</v>
      </c>
      <c r="L4" t="str">
        <f>TEXT(J4,"MMM")</f>
        <v>Jan</v>
      </c>
      <c r="M4" s="3">
        <f t="shared" si="0"/>
        <v>62067.600000000006</v>
      </c>
    </row>
    <row r="5" spans="1:13" x14ac:dyDescent="0.35">
      <c r="A5" t="s">
        <v>18</v>
      </c>
      <c r="B5" t="s">
        <v>125</v>
      </c>
      <c r="C5" t="s">
        <v>205</v>
      </c>
      <c r="D5" t="s">
        <v>209</v>
      </c>
      <c r="E5" t="s">
        <v>212</v>
      </c>
      <c r="F5" t="s">
        <v>219</v>
      </c>
      <c r="G5">
        <v>3</v>
      </c>
      <c r="H5">
        <v>28756</v>
      </c>
      <c r="I5">
        <f>G5*H5</f>
        <v>86268</v>
      </c>
      <c r="J5" s="2">
        <v>45320</v>
      </c>
      <c r="K5" t="str">
        <f>IF(I5&gt;100000,"high sales","normal sales")</f>
        <v>normal sales</v>
      </c>
      <c r="L5" t="str">
        <f>TEXT(J5,"MMM")</f>
        <v>Jan</v>
      </c>
      <c r="M5" s="3">
        <f t="shared" si="0"/>
        <v>17253.600000000002</v>
      </c>
    </row>
    <row r="6" spans="1:13" x14ac:dyDescent="0.35">
      <c r="A6" t="s">
        <v>91</v>
      </c>
      <c r="B6" t="s">
        <v>187</v>
      </c>
      <c r="C6" t="s">
        <v>203</v>
      </c>
      <c r="D6" t="s">
        <v>210</v>
      </c>
      <c r="E6" t="s">
        <v>213</v>
      </c>
      <c r="F6" t="s">
        <v>216</v>
      </c>
      <c r="G6">
        <v>1</v>
      </c>
      <c r="H6">
        <v>40274</v>
      </c>
      <c r="I6">
        <f>G6*H6</f>
        <v>40274</v>
      </c>
      <c r="J6" s="2">
        <v>45331</v>
      </c>
      <c r="K6" t="str">
        <f>IF(I6&gt;100000,"high sales","normal sales")</f>
        <v>normal sales</v>
      </c>
      <c r="L6" t="str">
        <f>TEXT(J6,"MMM")</f>
        <v>Feb</v>
      </c>
      <c r="M6" s="3">
        <f t="shared" si="0"/>
        <v>8054.8</v>
      </c>
    </row>
    <row r="7" spans="1:13" x14ac:dyDescent="0.35">
      <c r="A7" t="s">
        <v>15</v>
      </c>
      <c r="B7" t="s">
        <v>122</v>
      </c>
      <c r="C7" t="s">
        <v>206</v>
      </c>
      <c r="D7" t="s">
        <v>209</v>
      </c>
      <c r="E7" t="s">
        <v>214</v>
      </c>
      <c r="F7" t="s">
        <v>215</v>
      </c>
      <c r="G7">
        <v>17</v>
      </c>
      <c r="H7">
        <v>20292</v>
      </c>
      <c r="I7">
        <f>G7*H7</f>
        <v>344964</v>
      </c>
      <c r="J7" s="2">
        <v>45335</v>
      </c>
      <c r="K7" t="str">
        <f>IF(I7&gt;100000,"high sales","normal sales")</f>
        <v>high sales</v>
      </c>
      <c r="L7" t="str">
        <f>TEXT(J7,"MMM")</f>
        <v>Feb</v>
      </c>
      <c r="M7" s="3">
        <f t="shared" si="0"/>
        <v>68992.800000000003</v>
      </c>
    </row>
    <row r="8" spans="1:13" x14ac:dyDescent="0.35">
      <c r="A8" t="s">
        <v>36</v>
      </c>
      <c r="B8" t="s">
        <v>143</v>
      </c>
      <c r="C8" t="s">
        <v>203</v>
      </c>
      <c r="D8" t="s">
        <v>210</v>
      </c>
      <c r="E8" t="s">
        <v>212</v>
      </c>
      <c r="F8" t="s">
        <v>216</v>
      </c>
      <c r="G8">
        <v>2</v>
      </c>
      <c r="H8">
        <v>22703</v>
      </c>
      <c r="I8">
        <f>G8*H8</f>
        <v>45406</v>
      </c>
      <c r="J8" s="2">
        <v>45341</v>
      </c>
      <c r="K8" t="str">
        <f>IF(I8&gt;100000,"high sales","normal sales")</f>
        <v>normal sales</v>
      </c>
      <c r="L8" t="str">
        <f>TEXT(J8,"MMM")</f>
        <v>Feb</v>
      </c>
      <c r="M8" s="3">
        <f t="shared" si="0"/>
        <v>9081.2000000000007</v>
      </c>
    </row>
    <row r="9" spans="1:13" x14ac:dyDescent="0.35">
      <c r="A9" t="s">
        <v>62</v>
      </c>
      <c r="B9" t="s">
        <v>165</v>
      </c>
      <c r="C9" t="s">
        <v>204</v>
      </c>
      <c r="D9" t="s">
        <v>210</v>
      </c>
      <c r="E9" t="s">
        <v>212</v>
      </c>
      <c r="F9" t="s">
        <v>216</v>
      </c>
      <c r="G9">
        <v>3</v>
      </c>
      <c r="H9">
        <v>31501</v>
      </c>
      <c r="I9">
        <f>G9*H9</f>
        <v>94503</v>
      </c>
      <c r="J9" s="2">
        <v>45368</v>
      </c>
      <c r="K9" t="str">
        <f>IF(I9&gt;100000,"high sales","normal sales")</f>
        <v>normal sales</v>
      </c>
      <c r="L9" t="str">
        <f>TEXT(J9,"MMM")</f>
        <v>Mar</v>
      </c>
      <c r="M9" s="3">
        <f t="shared" si="0"/>
        <v>18900.600000000002</v>
      </c>
    </row>
    <row r="10" spans="1:13" x14ac:dyDescent="0.35">
      <c r="A10" t="s">
        <v>47</v>
      </c>
      <c r="B10" t="s">
        <v>152</v>
      </c>
      <c r="C10" t="s">
        <v>207</v>
      </c>
      <c r="D10" t="s">
        <v>208</v>
      </c>
      <c r="E10" t="s">
        <v>212</v>
      </c>
      <c r="F10" t="s">
        <v>216</v>
      </c>
      <c r="G10">
        <v>5</v>
      </c>
      <c r="H10">
        <v>36577</v>
      </c>
      <c r="I10">
        <f>G10*H10</f>
        <v>182885</v>
      </c>
      <c r="J10" s="2">
        <v>45378</v>
      </c>
      <c r="K10" t="str">
        <f>IF(I10&gt;100000,"high sales","normal sales")</f>
        <v>high sales</v>
      </c>
      <c r="L10" t="str">
        <f>TEXT(J10,"MMM")</f>
        <v>Mar</v>
      </c>
      <c r="M10" s="3">
        <f t="shared" si="0"/>
        <v>36577</v>
      </c>
    </row>
    <row r="11" spans="1:13" x14ac:dyDescent="0.35">
      <c r="A11" t="s">
        <v>63</v>
      </c>
      <c r="B11" t="s">
        <v>166</v>
      </c>
      <c r="C11" t="s">
        <v>206</v>
      </c>
      <c r="D11" t="s">
        <v>208</v>
      </c>
      <c r="E11" t="s">
        <v>213</v>
      </c>
      <c r="F11" t="s">
        <v>216</v>
      </c>
      <c r="G11">
        <v>6</v>
      </c>
      <c r="H11">
        <v>26082</v>
      </c>
      <c r="I11">
        <f>G11*H11</f>
        <v>156492</v>
      </c>
      <c r="J11" s="2">
        <v>45384</v>
      </c>
      <c r="K11" t="str">
        <f>IF(I11&gt;100000,"high sales","normal sales")</f>
        <v>high sales</v>
      </c>
      <c r="L11" t="str">
        <f>TEXT(J11,"MMM")</f>
        <v>Apr</v>
      </c>
      <c r="M11" s="3">
        <f t="shared" si="0"/>
        <v>31298.400000000001</v>
      </c>
    </row>
    <row r="12" spans="1:13" x14ac:dyDescent="0.35">
      <c r="A12" t="s">
        <v>75</v>
      </c>
      <c r="B12" t="s">
        <v>176</v>
      </c>
      <c r="C12" t="s">
        <v>203</v>
      </c>
      <c r="D12" t="s">
        <v>209</v>
      </c>
      <c r="E12" t="s">
        <v>213</v>
      </c>
      <c r="F12" t="s">
        <v>215</v>
      </c>
      <c r="G12">
        <v>16</v>
      </c>
      <c r="H12">
        <v>40047</v>
      </c>
      <c r="I12">
        <f>G12*H12</f>
        <v>640752</v>
      </c>
      <c r="J12" s="2">
        <v>45385</v>
      </c>
      <c r="K12" t="str">
        <f>IF(I12&gt;100000,"high sales","normal sales")</f>
        <v>high sales</v>
      </c>
      <c r="L12" t="str">
        <f>TEXT(J12,"MMM")</f>
        <v>Apr</v>
      </c>
      <c r="M12" s="3">
        <f t="shared" si="0"/>
        <v>128150.40000000001</v>
      </c>
    </row>
    <row r="13" spans="1:13" x14ac:dyDescent="0.35">
      <c r="A13" t="s">
        <v>55</v>
      </c>
      <c r="B13" t="s">
        <v>159</v>
      </c>
      <c r="C13" t="s">
        <v>207</v>
      </c>
      <c r="D13" t="s">
        <v>208</v>
      </c>
      <c r="E13" t="s">
        <v>214</v>
      </c>
      <c r="F13" t="s">
        <v>216</v>
      </c>
      <c r="G13">
        <v>18</v>
      </c>
      <c r="H13">
        <v>39266</v>
      </c>
      <c r="I13">
        <f>G13*H13</f>
        <v>706788</v>
      </c>
      <c r="J13" s="2">
        <v>45389</v>
      </c>
      <c r="K13" t="str">
        <f>IF(I13&gt;100000,"high sales","normal sales")</f>
        <v>high sales</v>
      </c>
      <c r="L13" t="str">
        <f>TEXT(J13,"MMM")</f>
        <v>Apr</v>
      </c>
      <c r="M13" s="3">
        <f t="shared" si="0"/>
        <v>141357.6</v>
      </c>
    </row>
    <row r="14" spans="1:13" x14ac:dyDescent="0.35">
      <c r="A14" t="s">
        <v>100</v>
      </c>
      <c r="B14" t="s">
        <v>195</v>
      </c>
      <c r="C14" t="s">
        <v>203</v>
      </c>
      <c r="D14" t="s">
        <v>208</v>
      </c>
      <c r="E14" t="s">
        <v>211</v>
      </c>
      <c r="F14" t="s">
        <v>215</v>
      </c>
      <c r="G14">
        <v>16</v>
      </c>
      <c r="H14">
        <v>35695</v>
      </c>
      <c r="I14">
        <f>G14*H14</f>
        <v>571120</v>
      </c>
      <c r="J14" s="2">
        <v>45392</v>
      </c>
      <c r="K14" t="str">
        <f>IF(I14&gt;100000,"high sales","normal sales")</f>
        <v>high sales</v>
      </c>
      <c r="L14" t="str">
        <f>TEXT(J14,"MMM")</f>
        <v>Apr</v>
      </c>
      <c r="M14" s="3">
        <f t="shared" si="0"/>
        <v>114224</v>
      </c>
    </row>
    <row r="15" spans="1:13" x14ac:dyDescent="0.35">
      <c r="A15" t="s">
        <v>20</v>
      </c>
      <c r="B15" t="s">
        <v>127</v>
      </c>
      <c r="C15" t="s">
        <v>206</v>
      </c>
      <c r="D15" t="s">
        <v>208</v>
      </c>
      <c r="E15" t="s">
        <v>214</v>
      </c>
      <c r="F15" t="s">
        <v>216</v>
      </c>
      <c r="G15">
        <v>9</v>
      </c>
      <c r="H15">
        <v>8683</v>
      </c>
      <c r="I15">
        <f>G15*H15</f>
        <v>78147</v>
      </c>
      <c r="J15" s="2">
        <v>45410</v>
      </c>
      <c r="K15" t="str">
        <f>IF(I15&gt;100000,"high sales","normal sales")</f>
        <v>normal sales</v>
      </c>
      <c r="L15" t="str">
        <f>TEXT(J15,"MMM")</f>
        <v>Apr</v>
      </c>
      <c r="M15" s="3">
        <f t="shared" si="0"/>
        <v>15629.400000000001</v>
      </c>
    </row>
    <row r="16" spans="1:13" x14ac:dyDescent="0.35">
      <c r="A16" t="s">
        <v>46</v>
      </c>
      <c r="B16" t="s">
        <v>151</v>
      </c>
      <c r="C16" t="s">
        <v>203</v>
      </c>
      <c r="D16" t="s">
        <v>209</v>
      </c>
      <c r="E16" t="s">
        <v>213</v>
      </c>
      <c r="F16" t="s">
        <v>217</v>
      </c>
      <c r="G16">
        <v>2</v>
      </c>
      <c r="H16">
        <v>11053</v>
      </c>
      <c r="I16">
        <f>G16*H16</f>
        <v>22106</v>
      </c>
      <c r="J16" s="2">
        <v>45422</v>
      </c>
      <c r="K16" t="str">
        <f>IF(I16&gt;100000,"high sales","normal sales")</f>
        <v>normal sales</v>
      </c>
      <c r="L16" t="str">
        <f>TEXT(J16,"MMM")</f>
        <v>May</v>
      </c>
      <c r="M16" s="3">
        <f t="shared" si="0"/>
        <v>4421.2</v>
      </c>
    </row>
    <row r="17" spans="1:13" x14ac:dyDescent="0.35">
      <c r="A17" t="s">
        <v>99</v>
      </c>
      <c r="B17" t="s">
        <v>194</v>
      </c>
      <c r="C17" t="s">
        <v>205</v>
      </c>
      <c r="D17" t="s">
        <v>208</v>
      </c>
      <c r="E17" t="s">
        <v>214</v>
      </c>
      <c r="F17" t="s">
        <v>216</v>
      </c>
      <c r="G17">
        <v>20</v>
      </c>
      <c r="H17">
        <v>3856</v>
      </c>
      <c r="I17">
        <f>G17*H17</f>
        <v>77120</v>
      </c>
      <c r="J17" s="2">
        <v>45433</v>
      </c>
      <c r="K17" t="str">
        <f>IF(I17&gt;100000,"high sales","normal sales")</f>
        <v>normal sales</v>
      </c>
      <c r="L17" t="str">
        <f>TEXT(J17,"MMM")</f>
        <v>May</v>
      </c>
      <c r="M17" s="3">
        <f t="shared" si="0"/>
        <v>15424</v>
      </c>
    </row>
    <row r="18" spans="1:13" x14ac:dyDescent="0.35">
      <c r="A18" t="s">
        <v>27</v>
      </c>
      <c r="B18" t="s">
        <v>134</v>
      </c>
      <c r="C18" t="s">
        <v>205</v>
      </c>
      <c r="D18" t="s">
        <v>210</v>
      </c>
      <c r="E18" t="s">
        <v>213</v>
      </c>
      <c r="F18" t="s">
        <v>216</v>
      </c>
      <c r="G18">
        <v>2</v>
      </c>
      <c r="H18">
        <v>7950</v>
      </c>
      <c r="I18">
        <f>G18*H18</f>
        <v>15900</v>
      </c>
      <c r="J18" s="2">
        <v>45437</v>
      </c>
      <c r="K18" t="str">
        <f>IF(I18&gt;100000,"high sales","normal sales")</f>
        <v>normal sales</v>
      </c>
      <c r="L18" t="str">
        <f>TEXT(J18,"MMM")</f>
        <v>May</v>
      </c>
      <c r="M18" s="3">
        <f t="shared" si="0"/>
        <v>3180</v>
      </c>
    </row>
    <row r="19" spans="1:13" x14ac:dyDescent="0.35">
      <c r="A19" t="s">
        <v>81</v>
      </c>
      <c r="B19" t="s">
        <v>179</v>
      </c>
      <c r="C19" t="s">
        <v>206</v>
      </c>
      <c r="D19" t="s">
        <v>210</v>
      </c>
      <c r="E19" t="s">
        <v>214</v>
      </c>
      <c r="F19" t="s">
        <v>216</v>
      </c>
      <c r="G19">
        <v>19</v>
      </c>
      <c r="H19">
        <v>19320</v>
      </c>
      <c r="I19">
        <f>G19*H19</f>
        <v>367080</v>
      </c>
      <c r="J19" s="2">
        <v>45463</v>
      </c>
      <c r="K19" t="str">
        <f>IF(I19&gt;100000,"high sales","normal sales")</f>
        <v>high sales</v>
      </c>
      <c r="L19" t="str">
        <f>TEXT(J19,"MMM")</f>
        <v>Jun</v>
      </c>
      <c r="M19" s="3">
        <f t="shared" si="0"/>
        <v>73416</v>
      </c>
    </row>
    <row r="20" spans="1:13" x14ac:dyDescent="0.35">
      <c r="A20" t="s">
        <v>45</v>
      </c>
      <c r="B20" t="s">
        <v>150</v>
      </c>
      <c r="C20" t="s">
        <v>206</v>
      </c>
      <c r="D20" t="s">
        <v>209</v>
      </c>
      <c r="E20" t="s">
        <v>212</v>
      </c>
      <c r="F20" t="s">
        <v>219</v>
      </c>
      <c r="G20">
        <v>16</v>
      </c>
      <c r="H20">
        <v>3963</v>
      </c>
      <c r="I20">
        <f>G20*H20</f>
        <v>63408</v>
      </c>
      <c r="J20" s="2">
        <v>45465</v>
      </c>
      <c r="K20" t="str">
        <f>IF(I20&gt;100000,"high sales","normal sales")</f>
        <v>normal sales</v>
      </c>
      <c r="L20" t="str">
        <f>TEXT(J20,"MMM")</f>
        <v>Jun</v>
      </c>
      <c r="M20" s="3">
        <f t="shared" si="0"/>
        <v>12681.6</v>
      </c>
    </row>
    <row r="21" spans="1:13" x14ac:dyDescent="0.35">
      <c r="A21" t="s">
        <v>52</v>
      </c>
      <c r="B21" t="s">
        <v>156</v>
      </c>
      <c r="C21" t="s">
        <v>204</v>
      </c>
      <c r="D21" t="s">
        <v>210</v>
      </c>
      <c r="E21" t="s">
        <v>212</v>
      </c>
      <c r="F21" t="s">
        <v>218</v>
      </c>
      <c r="G21">
        <v>17</v>
      </c>
      <c r="H21">
        <v>14526</v>
      </c>
      <c r="I21">
        <f>G21*H21</f>
        <v>246942</v>
      </c>
      <c r="J21" s="2">
        <v>45466</v>
      </c>
      <c r="K21" t="str">
        <f>IF(I21&gt;100000,"high sales","normal sales")</f>
        <v>high sales</v>
      </c>
      <c r="L21" t="str">
        <f>TEXT(J21,"MMM")</f>
        <v>Jun</v>
      </c>
      <c r="M21" s="3">
        <f t="shared" si="0"/>
        <v>49388.4</v>
      </c>
    </row>
    <row r="22" spans="1:13" x14ac:dyDescent="0.35">
      <c r="A22" t="s">
        <v>11</v>
      </c>
      <c r="B22" t="s">
        <v>118</v>
      </c>
      <c r="C22" t="s">
        <v>205</v>
      </c>
      <c r="D22" t="s">
        <v>210</v>
      </c>
      <c r="E22" t="s">
        <v>214</v>
      </c>
      <c r="F22" t="s">
        <v>218</v>
      </c>
      <c r="G22">
        <v>13</v>
      </c>
      <c r="H22">
        <v>22473</v>
      </c>
      <c r="I22">
        <f>G22*H22</f>
        <v>292149</v>
      </c>
      <c r="J22" s="2">
        <v>45482</v>
      </c>
      <c r="K22" t="str">
        <f>IF(I22&gt;100000,"high sales","normal sales")</f>
        <v>high sales</v>
      </c>
      <c r="L22" t="str">
        <f>TEXT(J22,"MMM")</f>
        <v>Jul</v>
      </c>
      <c r="M22" s="3">
        <f t="shared" si="0"/>
        <v>58429.8</v>
      </c>
    </row>
    <row r="23" spans="1:13" x14ac:dyDescent="0.35">
      <c r="A23" t="s">
        <v>37</v>
      </c>
      <c r="B23" t="s">
        <v>116</v>
      </c>
      <c r="C23" t="s">
        <v>204</v>
      </c>
      <c r="D23" t="s">
        <v>209</v>
      </c>
      <c r="E23" t="s">
        <v>211</v>
      </c>
      <c r="F23" t="s">
        <v>218</v>
      </c>
      <c r="G23">
        <v>8</v>
      </c>
      <c r="H23">
        <v>11039</v>
      </c>
      <c r="I23">
        <f>G23*H23</f>
        <v>88312</v>
      </c>
      <c r="J23" s="2">
        <v>45482</v>
      </c>
      <c r="K23" t="str">
        <f>IF(I23&gt;100000,"high sales","normal sales")</f>
        <v>normal sales</v>
      </c>
      <c r="L23" t="str">
        <f>TEXT(J23,"MMM")</f>
        <v>Jul</v>
      </c>
      <c r="M23" s="3">
        <f t="shared" si="0"/>
        <v>17662.400000000001</v>
      </c>
    </row>
    <row r="24" spans="1:13" x14ac:dyDescent="0.35">
      <c r="A24" t="s">
        <v>78</v>
      </c>
      <c r="B24" t="s">
        <v>109</v>
      </c>
      <c r="C24" t="s">
        <v>207</v>
      </c>
      <c r="D24" t="s">
        <v>208</v>
      </c>
      <c r="E24" t="s">
        <v>214</v>
      </c>
      <c r="F24" t="s">
        <v>219</v>
      </c>
      <c r="G24">
        <v>5</v>
      </c>
      <c r="H24">
        <v>7218</v>
      </c>
      <c r="I24">
        <f>G24*H24</f>
        <v>36090</v>
      </c>
      <c r="J24" s="2">
        <v>45505</v>
      </c>
      <c r="K24" t="str">
        <f>IF(I24&gt;100000,"high sales","normal sales")</f>
        <v>normal sales</v>
      </c>
      <c r="L24" t="str">
        <f>TEXT(J24,"MMM")</f>
        <v>Aug</v>
      </c>
      <c r="M24" s="3">
        <f t="shared" si="0"/>
        <v>7218</v>
      </c>
    </row>
    <row r="25" spans="1:13" x14ac:dyDescent="0.35">
      <c r="A25" t="s">
        <v>23</v>
      </c>
      <c r="B25" t="s">
        <v>130</v>
      </c>
      <c r="C25" t="s">
        <v>207</v>
      </c>
      <c r="D25" t="s">
        <v>208</v>
      </c>
      <c r="E25" t="s">
        <v>214</v>
      </c>
      <c r="F25" t="s">
        <v>216</v>
      </c>
      <c r="G25">
        <v>16</v>
      </c>
      <c r="H25">
        <v>6881</v>
      </c>
      <c r="I25">
        <f>G25*H25</f>
        <v>110096</v>
      </c>
      <c r="J25" s="2">
        <v>45518</v>
      </c>
      <c r="K25" t="str">
        <f>IF(I25&gt;100000,"high sales","normal sales")</f>
        <v>high sales</v>
      </c>
      <c r="L25" t="str">
        <f>TEXT(J25,"MMM")</f>
        <v>Aug</v>
      </c>
      <c r="M25" s="3">
        <f t="shared" si="0"/>
        <v>22019.200000000001</v>
      </c>
    </row>
    <row r="26" spans="1:13" x14ac:dyDescent="0.35">
      <c r="A26" t="s">
        <v>13</v>
      </c>
      <c r="B26" t="s">
        <v>120</v>
      </c>
      <c r="C26" t="s">
        <v>206</v>
      </c>
      <c r="D26" t="s">
        <v>209</v>
      </c>
      <c r="E26" t="s">
        <v>212</v>
      </c>
      <c r="F26" t="s">
        <v>216</v>
      </c>
      <c r="G26">
        <v>13</v>
      </c>
      <c r="H26">
        <v>18431</v>
      </c>
      <c r="I26">
        <f>G26*H26</f>
        <v>239603</v>
      </c>
      <c r="J26" s="2">
        <v>45520</v>
      </c>
      <c r="K26" t="str">
        <f>IF(I26&gt;100000,"high sales","normal sales")</f>
        <v>high sales</v>
      </c>
      <c r="L26" t="str">
        <f>TEXT(J26,"MMM")</f>
        <v>Aug</v>
      </c>
      <c r="M26" s="3">
        <f t="shared" si="0"/>
        <v>47920.600000000006</v>
      </c>
    </row>
    <row r="27" spans="1:13" x14ac:dyDescent="0.35">
      <c r="A27" t="s">
        <v>80</v>
      </c>
      <c r="B27" t="s">
        <v>122</v>
      </c>
      <c r="C27" t="s">
        <v>206</v>
      </c>
      <c r="D27" t="s">
        <v>208</v>
      </c>
      <c r="E27" t="s">
        <v>212</v>
      </c>
      <c r="F27" t="s">
        <v>215</v>
      </c>
      <c r="G27">
        <v>17</v>
      </c>
      <c r="H27">
        <v>4507</v>
      </c>
      <c r="I27">
        <f>G27*H27</f>
        <v>76619</v>
      </c>
      <c r="J27" s="2">
        <v>45524</v>
      </c>
      <c r="K27" t="str">
        <f>IF(I27&gt;100000,"high sales","normal sales")</f>
        <v>normal sales</v>
      </c>
      <c r="L27" t="str">
        <f>TEXT(J27,"MMM")</f>
        <v>Aug</v>
      </c>
      <c r="M27" s="3">
        <f t="shared" si="0"/>
        <v>15323.800000000001</v>
      </c>
    </row>
    <row r="28" spans="1:13" x14ac:dyDescent="0.35">
      <c r="A28" t="s">
        <v>58</v>
      </c>
      <c r="B28" t="s">
        <v>161</v>
      </c>
      <c r="C28" t="s">
        <v>203</v>
      </c>
      <c r="D28" t="s">
        <v>210</v>
      </c>
      <c r="E28" t="s">
        <v>212</v>
      </c>
      <c r="F28" t="s">
        <v>219</v>
      </c>
      <c r="G28">
        <v>4</v>
      </c>
      <c r="H28">
        <v>29150</v>
      </c>
      <c r="I28">
        <f>G28*H28</f>
        <v>116600</v>
      </c>
      <c r="J28" s="2">
        <v>45543</v>
      </c>
      <c r="K28" t="str">
        <f>IF(I28&gt;100000,"high sales","normal sales")</f>
        <v>high sales</v>
      </c>
      <c r="L28" t="str">
        <f>TEXT(J28,"MMM")</f>
        <v>Sep</v>
      </c>
      <c r="M28" s="3">
        <f t="shared" si="0"/>
        <v>23320</v>
      </c>
    </row>
    <row r="29" spans="1:13" x14ac:dyDescent="0.35">
      <c r="A29" t="s">
        <v>33</v>
      </c>
      <c r="B29" t="s">
        <v>111</v>
      </c>
      <c r="C29" t="s">
        <v>204</v>
      </c>
      <c r="D29" t="s">
        <v>208</v>
      </c>
      <c r="E29" t="s">
        <v>213</v>
      </c>
      <c r="F29" t="s">
        <v>219</v>
      </c>
      <c r="G29">
        <v>8</v>
      </c>
      <c r="H29">
        <v>11286</v>
      </c>
      <c r="I29">
        <f>G29*H29</f>
        <v>90288</v>
      </c>
      <c r="J29" s="2">
        <v>45545</v>
      </c>
      <c r="K29" t="str">
        <f>IF(I29&gt;100000,"high sales","normal sales")</f>
        <v>normal sales</v>
      </c>
      <c r="L29" t="str">
        <f>TEXT(J29,"MMM")</f>
        <v>Sep</v>
      </c>
      <c r="M29" s="3">
        <f t="shared" si="0"/>
        <v>18057.600000000002</v>
      </c>
    </row>
    <row r="30" spans="1:13" x14ac:dyDescent="0.35">
      <c r="A30" t="s">
        <v>94</v>
      </c>
      <c r="B30" t="s">
        <v>190</v>
      </c>
      <c r="C30" t="s">
        <v>203</v>
      </c>
      <c r="D30" t="s">
        <v>208</v>
      </c>
      <c r="E30" t="s">
        <v>212</v>
      </c>
      <c r="F30" t="s">
        <v>215</v>
      </c>
      <c r="G30">
        <v>8</v>
      </c>
      <c r="H30">
        <v>49117</v>
      </c>
      <c r="I30">
        <f>G30*H30</f>
        <v>392936</v>
      </c>
      <c r="J30" s="2">
        <v>45545</v>
      </c>
      <c r="K30" t="str">
        <f>IF(I30&gt;100000,"high sales","normal sales")</f>
        <v>high sales</v>
      </c>
      <c r="L30" t="str">
        <f>TEXT(J30,"MMM")</f>
        <v>Sep</v>
      </c>
      <c r="M30" s="3">
        <f t="shared" si="0"/>
        <v>78587.200000000012</v>
      </c>
    </row>
    <row r="31" spans="1:13" x14ac:dyDescent="0.35">
      <c r="A31" t="s">
        <v>49</v>
      </c>
      <c r="B31" t="s">
        <v>154</v>
      </c>
      <c r="C31" t="s">
        <v>207</v>
      </c>
      <c r="D31" t="s">
        <v>208</v>
      </c>
      <c r="E31" t="s">
        <v>211</v>
      </c>
      <c r="F31" t="s">
        <v>218</v>
      </c>
      <c r="G31">
        <v>12</v>
      </c>
      <c r="H31">
        <v>36991</v>
      </c>
      <c r="I31">
        <f>G31*H31</f>
        <v>443892</v>
      </c>
      <c r="J31" s="2">
        <v>45557</v>
      </c>
      <c r="K31" t="str">
        <f>IF(I31&gt;100000,"high sales","normal sales")</f>
        <v>high sales</v>
      </c>
      <c r="L31" t="str">
        <f>TEXT(J31,"MMM")</f>
        <v>Sep</v>
      </c>
      <c r="M31" s="3">
        <f t="shared" si="0"/>
        <v>88778.400000000009</v>
      </c>
    </row>
    <row r="32" spans="1:13" x14ac:dyDescent="0.35">
      <c r="A32" t="s">
        <v>76</v>
      </c>
      <c r="B32" t="s">
        <v>112</v>
      </c>
      <c r="C32" t="s">
        <v>206</v>
      </c>
      <c r="D32" t="s">
        <v>210</v>
      </c>
      <c r="E32" t="s">
        <v>214</v>
      </c>
      <c r="F32" t="s">
        <v>217</v>
      </c>
      <c r="G32">
        <v>6</v>
      </c>
      <c r="H32">
        <v>29635</v>
      </c>
      <c r="I32">
        <f>G32*H32</f>
        <v>177810</v>
      </c>
      <c r="J32" s="2">
        <v>45564</v>
      </c>
      <c r="K32" t="str">
        <f>IF(I32&gt;100000,"high sales","normal sales")</f>
        <v>high sales</v>
      </c>
      <c r="L32" t="str">
        <f>TEXT(J32,"MMM")</f>
        <v>Sep</v>
      </c>
      <c r="M32" s="3">
        <f t="shared" si="0"/>
        <v>35562</v>
      </c>
    </row>
    <row r="33" spans="1:13" x14ac:dyDescent="0.35">
      <c r="A33" t="s">
        <v>38</v>
      </c>
      <c r="B33" t="s">
        <v>144</v>
      </c>
      <c r="C33" t="s">
        <v>205</v>
      </c>
      <c r="D33" t="s">
        <v>210</v>
      </c>
      <c r="E33" t="s">
        <v>211</v>
      </c>
      <c r="F33" t="s">
        <v>215</v>
      </c>
      <c r="G33">
        <v>8</v>
      </c>
      <c r="H33">
        <v>29418</v>
      </c>
      <c r="I33">
        <f>G33*H33</f>
        <v>235344</v>
      </c>
      <c r="J33" s="2">
        <v>45569</v>
      </c>
      <c r="K33" t="str">
        <f>IF(I33&gt;100000,"high sales","normal sales")</f>
        <v>high sales</v>
      </c>
      <c r="L33" t="str">
        <f>TEXT(J33,"MMM")</f>
        <v>Oct</v>
      </c>
      <c r="M33" s="3">
        <f t="shared" si="0"/>
        <v>47068.800000000003</v>
      </c>
    </row>
    <row r="34" spans="1:13" x14ac:dyDescent="0.35">
      <c r="A34" t="s">
        <v>21</v>
      </c>
      <c r="B34" t="s">
        <v>128</v>
      </c>
      <c r="C34" t="s">
        <v>207</v>
      </c>
      <c r="D34" t="s">
        <v>209</v>
      </c>
      <c r="E34" t="s">
        <v>212</v>
      </c>
      <c r="F34" t="s">
        <v>219</v>
      </c>
      <c r="G34">
        <v>18</v>
      </c>
      <c r="H34">
        <v>18428</v>
      </c>
      <c r="I34">
        <f>G34*H34</f>
        <v>331704</v>
      </c>
      <c r="J34" s="2">
        <v>45570</v>
      </c>
      <c r="K34" t="str">
        <f>IF(I34&gt;100000,"high sales","normal sales")</f>
        <v>high sales</v>
      </c>
      <c r="L34" t="str">
        <f>TEXT(J34,"MMM")</f>
        <v>Oct</v>
      </c>
      <c r="M34" s="3">
        <f t="shared" si="0"/>
        <v>66340.800000000003</v>
      </c>
    </row>
    <row r="35" spans="1:13" x14ac:dyDescent="0.35">
      <c r="A35" t="s">
        <v>41</v>
      </c>
      <c r="B35" t="s">
        <v>147</v>
      </c>
      <c r="C35" t="s">
        <v>204</v>
      </c>
      <c r="D35" t="s">
        <v>208</v>
      </c>
      <c r="E35" t="s">
        <v>212</v>
      </c>
      <c r="F35" t="s">
        <v>215</v>
      </c>
      <c r="G35">
        <v>5</v>
      </c>
      <c r="H35">
        <v>4053</v>
      </c>
      <c r="I35">
        <f>G35*H35</f>
        <v>20265</v>
      </c>
      <c r="J35" s="2">
        <v>45573</v>
      </c>
      <c r="K35" t="str">
        <f>IF(I35&gt;100000,"high sales","normal sales")</f>
        <v>normal sales</v>
      </c>
      <c r="L35" t="str">
        <f>TEXT(J35,"MMM")</f>
        <v>Oct</v>
      </c>
      <c r="M35" s="3">
        <f t="shared" si="0"/>
        <v>4053</v>
      </c>
    </row>
    <row r="36" spans="1:13" x14ac:dyDescent="0.35">
      <c r="A36" t="s">
        <v>28</v>
      </c>
      <c r="B36" t="s">
        <v>135</v>
      </c>
      <c r="C36" t="s">
        <v>203</v>
      </c>
      <c r="D36" t="s">
        <v>210</v>
      </c>
      <c r="E36" t="s">
        <v>212</v>
      </c>
      <c r="F36" t="s">
        <v>216</v>
      </c>
      <c r="G36">
        <v>9</v>
      </c>
      <c r="H36">
        <v>29435</v>
      </c>
      <c r="I36">
        <f>G36*H36</f>
        <v>264915</v>
      </c>
      <c r="J36" s="2">
        <v>45578</v>
      </c>
      <c r="K36" t="str">
        <f>IF(I36&gt;100000,"high sales","normal sales")</f>
        <v>high sales</v>
      </c>
      <c r="L36" t="str">
        <f>TEXT(J36,"MMM")</f>
        <v>Oct</v>
      </c>
      <c r="M36" s="3">
        <f t="shared" si="0"/>
        <v>52983</v>
      </c>
    </row>
    <row r="37" spans="1:13" x14ac:dyDescent="0.35">
      <c r="A37" t="s">
        <v>68</v>
      </c>
      <c r="B37" t="s">
        <v>171</v>
      </c>
      <c r="C37" t="s">
        <v>203</v>
      </c>
      <c r="D37" t="s">
        <v>209</v>
      </c>
      <c r="E37" t="s">
        <v>211</v>
      </c>
      <c r="F37" t="s">
        <v>218</v>
      </c>
      <c r="G37">
        <v>5</v>
      </c>
      <c r="H37">
        <v>31907</v>
      </c>
      <c r="I37">
        <f>G37*H37</f>
        <v>159535</v>
      </c>
      <c r="J37" s="2">
        <v>45593</v>
      </c>
      <c r="K37" t="str">
        <f>IF(I37&gt;100000,"high sales","normal sales")</f>
        <v>high sales</v>
      </c>
      <c r="L37" t="str">
        <f>TEXT(J37,"MMM")</f>
        <v>Oct</v>
      </c>
      <c r="M37" s="3">
        <f t="shared" si="0"/>
        <v>31907</v>
      </c>
    </row>
    <row r="38" spans="1:13" x14ac:dyDescent="0.35">
      <c r="A38" t="s">
        <v>39</v>
      </c>
      <c r="B38" t="s">
        <v>145</v>
      </c>
      <c r="C38" t="s">
        <v>206</v>
      </c>
      <c r="D38" t="s">
        <v>208</v>
      </c>
      <c r="E38" t="s">
        <v>214</v>
      </c>
      <c r="F38" t="s">
        <v>217</v>
      </c>
      <c r="G38">
        <v>3</v>
      </c>
      <c r="H38">
        <v>35132</v>
      </c>
      <c r="I38">
        <f>G38*H38</f>
        <v>105396</v>
      </c>
      <c r="J38" s="2">
        <v>45604</v>
      </c>
      <c r="K38" t="str">
        <f>IF(I38&gt;100000,"high sales","normal sales")</f>
        <v>high sales</v>
      </c>
      <c r="L38" t="str">
        <f>TEXT(J38,"MMM")</f>
        <v>Nov</v>
      </c>
      <c r="M38" s="3">
        <f t="shared" si="0"/>
        <v>21079.200000000001</v>
      </c>
    </row>
    <row r="39" spans="1:13" x14ac:dyDescent="0.35">
      <c r="A39" t="s">
        <v>32</v>
      </c>
      <c r="B39" t="s">
        <v>139</v>
      </c>
      <c r="C39" t="s">
        <v>205</v>
      </c>
      <c r="D39" t="s">
        <v>209</v>
      </c>
      <c r="E39" t="s">
        <v>212</v>
      </c>
      <c r="F39" t="s">
        <v>216</v>
      </c>
      <c r="G39">
        <v>19</v>
      </c>
      <c r="H39">
        <v>46520</v>
      </c>
      <c r="I39">
        <f>G39*H39</f>
        <v>883880</v>
      </c>
      <c r="J39" s="2">
        <v>45608</v>
      </c>
      <c r="K39" t="str">
        <f>IF(I39&gt;100000,"high sales","normal sales")</f>
        <v>high sales</v>
      </c>
      <c r="L39" t="str">
        <f>TEXT(J39,"MMM")</f>
        <v>Nov</v>
      </c>
      <c r="M39" s="3">
        <f t="shared" si="0"/>
        <v>176776</v>
      </c>
    </row>
    <row r="40" spans="1:13" x14ac:dyDescent="0.35">
      <c r="A40" t="s">
        <v>40</v>
      </c>
      <c r="B40" t="s">
        <v>146</v>
      </c>
      <c r="C40" t="s">
        <v>205</v>
      </c>
      <c r="D40" t="s">
        <v>210</v>
      </c>
      <c r="E40" t="s">
        <v>212</v>
      </c>
      <c r="F40" t="s">
        <v>216</v>
      </c>
      <c r="G40">
        <v>12</v>
      </c>
      <c r="H40">
        <v>31392</v>
      </c>
      <c r="I40">
        <f>G40*H40</f>
        <v>376704</v>
      </c>
      <c r="J40" s="2">
        <v>45610</v>
      </c>
      <c r="K40" t="str">
        <f>IF(I40&gt;100000,"high sales","normal sales")</f>
        <v>high sales</v>
      </c>
      <c r="L40" t="str">
        <f>TEXT(J40,"MMM")</f>
        <v>Nov</v>
      </c>
      <c r="M40" s="3">
        <f t="shared" si="0"/>
        <v>75340.800000000003</v>
      </c>
    </row>
    <row r="41" spans="1:13" x14ac:dyDescent="0.35">
      <c r="A41" t="s">
        <v>57</v>
      </c>
      <c r="B41" t="s">
        <v>160</v>
      </c>
      <c r="C41" t="s">
        <v>207</v>
      </c>
      <c r="D41" t="s">
        <v>210</v>
      </c>
      <c r="E41" t="s">
        <v>213</v>
      </c>
      <c r="F41" t="s">
        <v>217</v>
      </c>
      <c r="G41">
        <v>18</v>
      </c>
      <c r="H41">
        <v>40322</v>
      </c>
      <c r="I41">
        <f>G41*H41</f>
        <v>725796</v>
      </c>
      <c r="J41" s="2">
        <v>45610</v>
      </c>
      <c r="K41" t="str">
        <f>IF(I41&gt;100000,"high sales","normal sales")</f>
        <v>high sales</v>
      </c>
      <c r="L41" t="str">
        <f>TEXT(J41,"MMM")</f>
        <v>Nov</v>
      </c>
      <c r="M41" s="3">
        <f t="shared" si="0"/>
        <v>145159.20000000001</v>
      </c>
    </row>
    <row r="42" spans="1:13" x14ac:dyDescent="0.35">
      <c r="A42" t="s">
        <v>22</v>
      </c>
      <c r="B42" t="s">
        <v>129</v>
      </c>
      <c r="C42" t="s">
        <v>204</v>
      </c>
      <c r="D42" t="s">
        <v>209</v>
      </c>
      <c r="E42" t="s">
        <v>213</v>
      </c>
      <c r="F42" t="s">
        <v>219</v>
      </c>
      <c r="G42">
        <v>6</v>
      </c>
      <c r="H42">
        <v>38468</v>
      </c>
      <c r="I42">
        <f>G42*H42</f>
        <v>230808</v>
      </c>
      <c r="J42" s="2">
        <v>45617</v>
      </c>
      <c r="K42" t="str">
        <f>IF(I42&gt;100000,"high sales","normal sales")</f>
        <v>high sales</v>
      </c>
      <c r="L42" t="str">
        <f>TEXT(J42,"MMM")</f>
        <v>Nov</v>
      </c>
      <c r="M42" s="3">
        <f t="shared" si="0"/>
        <v>46161.600000000006</v>
      </c>
    </row>
    <row r="43" spans="1:13" x14ac:dyDescent="0.35">
      <c r="A43" t="s">
        <v>48</v>
      </c>
      <c r="B43" t="s">
        <v>153</v>
      </c>
      <c r="C43" t="s">
        <v>207</v>
      </c>
      <c r="D43" t="s">
        <v>209</v>
      </c>
      <c r="E43" t="s">
        <v>211</v>
      </c>
      <c r="F43" t="s">
        <v>217</v>
      </c>
      <c r="G43">
        <v>10</v>
      </c>
      <c r="H43">
        <v>23486</v>
      </c>
      <c r="I43">
        <f>G43*H43</f>
        <v>234860</v>
      </c>
      <c r="J43" s="2">
        <v>45627</v>
      </c>
      <c r="K43" t="str">
        <f>IF(I43&gt;100000,"high sales","normal sales")</f>
        <v>high sales</v>
      </c>
      <c r="L43" t="str">
        <f>TEXT(J43,"MMM")</f>
        <v>Dec</v>
      </c>
      <c r="M43" s="3">
        <f t="shared" si="0"/>
        <v>46972</v>
      </c>
    </row>
    <row r="44" spans="1:13" x14ac:dyDescent="0.35">
      <c r="A44" t="s">
        <v>101</v>
      </c>
      <c r="B44" t="s">
        <v>196</v>
      </c>
      <c r="C44" t="s">
        <v>204</v>
      </c>
      <c r="D44" t="s">
        <v>208</v>
      </c>
      <c r="E44" t="s">
        <v>212</v>
      </c>
      <c r="F44" t="s">
        <v>215</v>
      </c>
      <c r="G44">
        <v>19</v>
      </c>
      <c r="H44">
        <v>43865</v>
      </c>
      <c r="I44">
        <f>G44*H44</f>
        <v>833435</v>
      </c>
      <c r="J44" s="2">
        <v>45628</v>
      </c>
      <c r="K44" t="str">
        <f>IF(I44&gt;100000,"high sales","normal sales")</f>
        <v>high sales</v>
      </c>
      <c r="L44" t="str">
        <f>TEXT(J44,"MMM")</f>
        <v>Dec</v>
      </c>
      <c r="M44" s="3">
        <f t="shared" si="0"/>
        <v>166687</v>
      </c>
    </row>
    <row r="45" spans="1:13" x14ac:dyDescent="0.35">
      <c r="A45" t="s">
        <v>92</v>
      </c>
      <c r="B45" t="s">
        <v>188</v>
      </c>
      <c r="C45" t="s">
        <v>205</v>
      </c>
      <c r="D45" t="s">
        <v>209</v>
      </c>
      <c r="E45" t="s">
        <v>214</v>
      </c>
      <c r="F45" t="s">
        <v>215</v>
      </c>
      <c r="G45">
        <v>20</v>
      </c>
      <c r="H45">
        <v>35257</v>
      </c>
      <c r="I45">
        <f>G45*H45</f>
        <v>705140</v>
      </c>
      <c r="J45" s="2">
        <v>45629</v>
      </c>
      <c r="K45" t="str">
        <f>IF(I45&gt;100000,"high sales","normal sales")</f>
        <v>high sales</v>
      </c>
      <c r="L45" t="str">
        <f>TEXT(J45,"MMM")</f>
        <v>Dec</v>
      </c>
      <c r="M45" s="3">
        <f t="shared" si="0"/>
        <v>141028</v>
      </c>
    </row>
    <row r="46" spans="1:13" x14ac:dyDescent="0.35">
      <c r="A46" t="s">
        <v>107</v>
      </c>
      <c r="B46" t="s">
        <v>202</v>
      </c>
      <c r="C46" t="s">
        <v>207</v>
      </c>
      <c r="D46" t="s">
        <v>210</v>
      </c>
      <c r="E46" t="s">
        <v>212</v>
      </c>
      <c r="F46" t="s">
        <v>216</v>
      </c>
      <c r="G46">
        <v>5</v>
      </c>
      <c r="H46">
        <v>29535</v>
      </c>
      <c r="I46">
        <f>G46*H46</f>
        <v>147675</v>
      </c>
      <c r="J46" s="2">
        <v>45635</v>
      </c>
      <c r="K46" t="str">
        <f>IF(I46&gt;100000,"high sales","normal sales")</f>
        <v>high sales</v>
      </c>
      <c r="L46" t="str">
        <f>TEXT(J46,"MMM")</f>
        <v>Dec</v>
      </c>
      <c r="M46" s="3">
        <f t="shared" si="0"/>
        <v>29535</v>
      </c>
    </row>
    <row r="47" spans="1:13" x14ac:dyDescent="0.35">
      <c r="A47" t="s">
        <v>16</v>
      </c>
      <c r="B47" t="s">
        <v>123</v>
      </c>
      <c r="C47" t="s">
        <v>203</v>
      </c>
      <c r="D47" t="s">
        <v>208</v>
      </c>
      <c r="E47" t="s">
        <v>212</v>
      </c>
      <c r="F47" t="s">
        <v>215</v>
      </c>
      <c r="G47">
        <v>11</v>
      </c>
      <c r="H47">
        <v>40640</v>
      </c>
      <c r="I47">
        <f>G47*H47</f>
        <v>447040</v>
      </c>
      <c r="J47" s="2">
        <v>45645</v>
      </c>
      <c r="K47" t="str">
        <f>IF(I47&gt;100000,"high sales","normal sales")</f>
        <v>high sales</v>
      </c>
      <c r="L47" t="str">
        <f>TEXT(J47,"MMM")</f>
        <v>Dec</v>
      </c>
      <c r="M47" s="3">
        <f t="shared" si="0"/>
        <v>89408</v>
      </c>
    </row>
    <row r="48" spans="1:13" x14ac:dyDescent="0.35">
      <c r="A48" t="s">
        <v>44</v>
      </c>
      <c r="B48" t="s">
        <v>149</v>
      </c>
      <c r="C48" t="s">
        <v>207</v>
      </c>
      <c r="D48" t="s">
        <v>209</v>
      </c>
      <c r="E48" t="s">
        <v>211</v>
      </c>
      <c r="F48" t="s">
        <v>218</v>
      </c>
      <c r="G48">
        <v>20</v>
      </c>
      <c r="H48">
        <v>14396</v>
      </c>
      <c r="I48">
        <f>G48*H48</f>
        <v>287920</v>
      </c>
      <c r="J48" s="2">
        <v>45653</v>
      </c>
      <c r="K48" t="str">
        <f>IF(I48&gt;100000,"high sales","normal sales")</f>
        <v>high sales</v>
      </c>
      <c r="L48" t="str">
        <f>TEXT(J48,"MMM")</f>
        <v>Dec</v>
      </c>
      <c r="M48" s="3">
        <f t="shared" si="0"/>
        <v>57584</v>
      </c>
    </row>
    <row r="49" spans="1:13" x14ac:dyDescent="0.35">
      <c r="A49" t="s">
        <v>54</v>
      </c>
      <c r="B49" t="s">
        <v>158</v>
      </c>
      <c r="C49" t="s">
        <v>207</v>
      </c>
      <c r="D49" t="s">
        <v>208</v>
      </c>
      <c r="E49" t="s">
        <v>214</v>
      </c>
      <c r="F49" t="s">
        <v>217</v>
      </c>
      <c r="G49">
        <v>4</v>
      </c>
      <c r="H49">
        <v>18286</v>
      </c>
      <c r="I49">
        <f>G49*H49</f>
        <v>73144</v>
      </c>
      <c r="J49" s="2">
        <v>45653</v>
      </c>
      <c r="K49" t="str">
        <f>IF(I49&gt;100000,"high sales","normal sales")</f>
        <v>normal sales</v>
      </c>
      <c r="L49" t="str">
        <f>TEXT(J49,"MMM")</f>
        <v>Dec</v>
      </c>
      <c r="M49" s="3">
        <f t="shared" si="0"/>
        <v>14628.800000000001</v>
      </c>
    </row>
    <row r="50" spans="1:13" x14ac:dyDescent="0.35">
      <c r="A50" t="s">
        <v>106</v>
      </c>
      <c r="B50" t="s">
        <v>201</v>
      </c>
      <c r="C50" t="s">
        <v>203</v>
      </c>
      <c r="D50" t="s">
        <v>210</v>
      </c>
      <c r="E50" t="s">
        <v>211</v>
      </c>
      <c r="F50" t="s">
        <v>217</v>
      </c>
      <c r="G50">
        <v>16</v>
      </c>
      <c r="H50">
        <v>38605</v>
      </c>
      <c r="I50">
        <f>G50*H50</f>
        <v>617680</v>
      </c>
      <c r="J50" s="2">
        <v>45668</v>
      </c>
      <c r="K50" t="str">
        <f>IF(I50&gt;100000,"high sales","normal sales")</f>
        <v>high sales</v>
      </c>
      <c r="L50" t="str">
        <f>TEXT(J50,"MMM")</f>
        <v>Jan</v>
      </c>
      <c r="M50" s="3">
        <f t="shared" si="0"/>
        <v>123536</v>
      </c>
    </row>
    <row r="51" spans="1:13" x14ac:dyDescent="0.35">
      <c r="A51" t="s">
        <v>97</v>
      </c>
      <c r="B51" t="s">
        <v>193</v>
      </c>
      <c r="C51" t="s">
        <v>207</v>
      </c>
      <c r="D51" t="s">
        <v>209</v>
      </c>
      <c r="E51" t="s">
        <v>213</v>
      </c>
      <c r="F51" t="s">
        <v>215</v>
      </c>
      <c r="G51">
        <v>3</v>
      </c>
      <c r="H51">
        <v>31572</v>
      </c>
      <c r="I51">
        <f>G51*H51</f>
        <v>94716</v>
      </c>
      <c r="J51" s="2">
        <v>45676</v>
      </c>
      <c r="K51" t="str">
        <f>IF(I51&gt;100000,"high sales","normal sales")</f>
        <v>normal sales</v>
      </c>
      <c r="L51" t="str">
        <f>TEXT(J51,"MMM")</f>
        <v>Jan</v>
      </c>
      <c r="M51" s="3">
        <f t="shared" si="0"/>
        <v>18943.2</v>
      </c>
    </row>
    <row r="52" spans="1:13" x14ac:dyDescent="0.35">
      <c r="A52" t="s">
        <v>31</v>
      </c>
      <c r="B52" t="s">
        <v>138</v>
      </c>
      <c r="C52" t="s">
        <v>204</v>
      </c>
      <c r="D52" t="s">
        <v>210</v>
      </c>
      <c r="E52" t="s">
        <v>211</v>
      </c>
      <c r="F52" t="s">
        <v>216</v>
      </c>
      <c r="G52">
        <v>2</v>
      </c>
      <c r="H52">
        <v>2125</v>
      </c>
      <c r="I52">
        <f>G52*H52</f>
        <v>4250</v>
      </c>
      <c r="J52" s="2">
        <v>45692</v>
      </c>
      <c r="K52" t="str">
        <f>IF(I52&gt;100000,"high sales","normal sales")</f>
        <v>normal sales</v>
      </c>
      <c r="L52" t="str">
        <f>TEXT(J52,"MMM")</f>
        <v>Feb</v>
      </c>
      <c r="M52" s="3">
        <f t="shared" si="0"/>
        <v>850</v>
      </c>
    </row>
    <row r="53" spans="1:13" x14ac:dyDescent="0.35">
      <c r="A53" t="s">
        <v>104</v>
      </c>
      <c r="B53" t="s">
        <v>199</v>
      </c>
      <c r="C53" t="s">
        <v>206</v>
      </c>
      <c r="D53" t="s">
        <v>208</v>
      </c>
      <c r="E53" t="s">
        <v>212</v>
      </c>
      <c r="F53" t="s">
        <v>217</v>
      </c>
      <c r="G53">
        <v>12</v>
      </c>
      <c r="H53">
        <v>18817</v>
      </c>
      <c r="I53">
        <f>G53*H53</f>
        <v>225804</v>
      </c>
      <c r="J53" s="2">
        <v>45697</v>
      </c>
      <c r="K53" t="str">
        <f>IF(I53&gt;100000,"high sales","normal sales")</f>
        <v>high sales</v>
      </c>
      <c r="L53" t="str">
        <f>TEXT(J53,"MMM")</f>
        <v>Feb</v>
      </c>
      <c r="M53" s="3">
        <f t="shared" si="0"/>
        <v>45160.800000000003</v>
      </c>
    </row>
    <row r="54" spans="1:13" x14ac:dyDescent="0.35">
      <c r="A54" t="s">
        <v>10</v>
      </c>
      <c r="B54" t="s">
        <v>141</v>
      </c>
      <c r="C54" t="s">
        <v>207</v>
      </c>
      <c r="D54" t="s">
        <v>210</v>
      </c>
      <c r="E54" t="s">
        <v>213</v>
      </c>
      <c r="F54" t="s">
        <v>216</v>
      </c>
      <c r="G54">
        <v>5</v>
      </c>
      <c r="H54">
        <v>8681</v>
      </c>
      <c r="I54">
        <f>G54*H54</f>
        <v>43405</v>
      </c>
      <c r="J54" s="2">
        <v>45705</v>
      </c>
      <c r="K54" t="str">
        <f>IF(I54&gt;100000,"high sales","normal sales")</f>
        <v>normal sales</v>
      </c>
      <c r="L54" t="str">
        <f>TEXT(J54,"MMM")</f>
        <v>Feb</v>
      </c>
      <c r="M54" s="3">
        <f t="shared" si="0"/>
        <v>8681</v>
      </c>
    </row>
    <row r="55" spans="1:13" x14ac:dyDescent="0.35">
      <c r="A55" t="s">
        <v>87</v>
      </c>
      <c r="B55" t="s">
        <v>138</v>
      </c>
      <c r="C55" t="s">
        <v>205</v>
      </c>
      <c r="D55" t="s">
        <v>208</v>
      </c>
      <c r="E55" t="s">
        <v>211</v>
      </c>
      <c r="F55" t="s">
        <v>219</v>
      </c>
      <c r="G55">
        <v>11</v>
      </c>
      <c r="H55">
        <v>5666</v>
      </c>
      <c r="I55">
        <f>G55*H55</f>
        <v>62326</v>
      </c>
      <c r="J55" s="2">
        <v>45716</v>
      </c>
      <c r="K55" t="str">
        <f>IF(I55&gt;100000,"high sales","normal sales")</f>
        <v>normal sales</v>
      </c>
      <c r="L55" t="str">
        <f>TEXT(J55,"MMM")</f>
        <v>Feb</v>
      </c>
      <c r="M55" s="3">
        <f t="shared" si="0"/>
        <v>12465.2</v>
      </c>
    </row>
    <row r="56" spans="1:13" x14ac:dyDescent="0.35">
      <c r="A56" t="s">
        <v>67</v>
      </c>
      <c r="B56" t="s">
        <v>170</v>
      </c>
      <c r="C56" t="s">
        <v>204</v>
      </c>
      <c r="D56" t="s">
        <v>210</v>
      </c>
      <c r="E56" t="s">
        <v>214</v>
      </c>
      <c r="F56" t="s">
        <v>218</v>
      </c>
      <c r="G56">
        <v>15</v>
      </c>
      <c r="H56">
        <v>28130</v>
      </c>
      <c r="I56">
        <f>G56*H56</f>
        <v>421950</v>
      </c>
      <c r="J56" s="2">
        <v>45734</v>
      </c>
      <c r="K56" t="str">
        <f>IF(I56&gt;100000,"high sales","normal sales")</f>
        <v>high sales</v>
      </c>
      <c r="L56" t="str">
        <f>TEXT(J56,"MMM")</f>
        <v>Mar</v>
      </c>
      <c r="M56" s="3">
        <f t="shared" si="0"/>
        <v>84390</v>
      </c>
    </row>
    <row r="57" spans="1:13" x14ac:dyDescent="0.35">
      <c r="A57" t="s">
        <v>25</v>
      </c>
      <c r="B57" t="s">
        <v>132</v>
      </c>
      <c r="C57" t="s">
        <v>206</v>
      </c>
      <c r="D57" t="s">
        <v>209</v>
      </c>
      <c r="E57" t="s">
        <v>213</v>
      </c>
      <c r="F57" t="s">
        <v>216</v>
      </c>
      <c r="G57">
        <v>12</v>
      </c>
      <c r="H57">
        <v>39635</v>
      </c>
      <c r="I57">
        <f>G57*H57</f>
        <v>475620</v>
      </c>
      <c r="J57" s="2">
        <v>45748</v>
      </c>
      <c r="K57" t="str">
        <f>IF(I57&gt;100000,"high sales","normal sales")</f>
        <v>high sales</v>
      </c>
      <c r="L57" t="str">
        <f>TEXT(J57,"MMM")</f>
        <v>Apr</v>
      </c>
      <c r="M57" s="3">
        <f t="shared" si="0"/>
        <v>95124</v>
      </c>
    </row>
    <row r="58" spans="1:13" x14ac:dyDescent="0.35">
      <c r="A58" t="s">
        <v>56</v>
      </c>
      <c r="B58" t="s">
        <v>110</v>
      </c>
      <c r="C58" t="s">
        <v>205</v>
      </c>
      <c r="D58" t="s">
        <v>208</v>
      </c>
      <c r="E58" t="s">
        <v>212</v>
      </c>
      <c r="F58" t="s">
        <v>218</v>
      </c>
      <c r="G58">
        <v>6</v>
      </c>
      <c r="H58">
        <v>5085</v>
      </c>
      <c r="I58">
        <f>G58*H58</f>
        <v>30510</v>
      </c>
      <c r="J58" s="2">
        <v>45749</v>
      </c>
      <c r="K58" t="str">
        <f>IF(I58&gt;100000,"high sales","normal sales")</f>
        <v>normal sales</v>
      </c>
      <c r="L58" t="str">
        <f>TEXT(J58,"MMM")</f>
        <v>Apr</v>
      </c>
      <c r="M58" s="3">
        <f t="shared" si="0"/>
        <v>6102</v>
      </c>
    </row>
    <row r="59" spans="1:13" x14ac:dyDescent="0.35">
      <c r="A59" t="s">
        <v>61</v>
      </c>
      <c r="B59" t="s">
        <v>164</v>
      </c>
      <c r="C59" t="s">
        <v>203</v>
      </c>
      <c r="D59" t="s">
        <v>210</v>
      </c>
      <c r="E59" t="s">
        <v>214</v>
      </c>
      <c r="F59" t="s">
        <v>219</v>
      </c>
      <c r="G59">
        <v>19</v>
      </c>
      <c r="H59">
        <v>26106</v>
      </c>
      <c r="I59">
        <f>G59*H59</f>
        <v>496014</v>
      </c>
      <c r="J59" s="2">
        <v>45754</v>
      </c>
      <c r="K59" t="str">
        <f>IF(I59&gt;100000,"high sales","normal sales")</f>
        <v>high sales</v>
      </c>
      <c r="L59" t="str">
        <f>TEXT(J59,"MMM")</f>
        <v>Apr</v>
      </c>
      <c r="M59" s="3">
        <f t="shared" si="0"/>
        <v>99202.8</v>
      </c>
    </row>
    <row r="60" spans="1:13" x14ac:dyDescent="0.35">
      <c r="A60" t="s">
        <v>88</v>
      </c>
      <c r="B60" t="s">
        <v>184</v>
      </c>
      <c r="C60" t="s">
        <v>206</v>
      </c>
      <c r="D60" t="s">
        <v>209</v>
      </c>
      <c r="E60" t="s">
        <v>211</v>
      </c>
      <c r="F60" t="s">
        <v>218</v>
      </c>
      <c r="G60">
        <v>11</v>
      </c>
      <c r="H60">
        <v>31741</v>
      </c>
      <c r="I60">
        <f>G60*H60</f>
        <v>349151</v>
      </c>
      <c r="J60" s="2">
        <v>45755</v>
      </c>
      <c r="K60" t="str">
        <f>IF(I60&gt;100000,"high sales","normal sales")</f>
        <v>high sales</v>
      </c>
      <c r="L60" t="str">
        <f>TEXT(J60,"MMM")</f>
        <v>Apr</v>
      </c>
      <c r="M60" s="3">
        <f t="shared" si="0"/>
        <v>69830.2</v>
      </c>
    </row>
    <row r="61" spans="1:13" x14ac:dyDescent="0.35">
      <c r="A61" t="s">
        <v>30</v>
      </c>
      <c r="B61" t="s">
        <v>137</v>
      </c>
      <c r="C61" t="s">
        <v>206</v>
      </c>
      <c r="D61" t="s">
        <v>209</v>
      </c>
      <c r="E61" t="s">
        <v>212</v>
      </c>
      <c r="F61" t="s">
        <v>217</v>
      </c>
      <c r="G61">
        <v>19</v>
      </c>
      <c r="H61">
        <v>11754</v>
      </c>
      <c r="I61">
        <f>G61*H61</f>
        <v>223326</v>
      </c>
      <c r="J61" s="2">
        <v>45759</v>
      </c>
      <c r="K61" t="str">
        <f>IF(I61&gt;100000,"high sales","normal sales")</f>
        <v>high sales</v>
      </c>
      <c r="L61" t="str">
        <f>TEXT(J61,"MMM")</f>
        <v>Apr</v>
      </c>
      <c r="M61" s="3">
        <f t="shared" si="0"/>
        <v>44665.200000000004</v>
      </c>
    </row>
    <row r="62" spans="1:13" x14ac:dyDescent="0.35">
      <c r="A62" t="s">
        <v>12</v>
      </c>
      <c r="B62" t="s">
        <v>119</v>
      </c>
      <c r="C62" t="s">
        <v>207</v>
      </c>
      <c r="D62" t="s">
        <v>210</v>
      </c>
      <c r="E62" t="s">
        <v>212</v>
      </c>
      <c r="F62" t="s">
        <v>217</v>
      </c>
      <c r="G62">
        <v>19</v>
      </c>
      <c r="H62">
        <v>19677</v>
      </c>
      <c r="I62">
        <f>G62*H62</f>
        <v>373863</v>
      </c>
      <c r="J62" s="2">
        <v>45761</v>
      </c>
      <c r="K62" t="str">
        <f>IF(I62&gt;100000,"high sales","normal sales")</f>
        <v>high sales</v>
      </c>
      <c r="L62" t="str">
        <f>TEXT(J62,"MMM")</f>
        <v>Apr</v>
      </c>
      <c r="M62" s="3">
        <f t="shared" si="0"/>
        <v>74772.600000000006</v>
      </c>
    </row>
    <row r="63" spans="1:13" x14ac:dyDescent="0.35">
      <c r="A63" t="s">
        <v>64</v>
      </c>
      <c r="B63" t="s">
        <v>167</v>
      </c>
      <c r="C63" t="s">
        <v>203</v>
      </c>
      <c r="D63" t="s">
        <v>208</v>
      </c>
      <c r="E63" t="s">
        <v>213</v>
      </c>
      <c r="F63" t="s">
        <v>217</v>
      </c>
      <c r="G63">
        <v>9</v>
      </c>
      <c r="H63">
        <v>17026</v>
      </c>
      <c r="I63">
        <f>G63*H63</f>
        <v>153234</v>
      </c>
      <c r="J63" s="2">
        <v>45773</v>
      </c>
      <c r="K63" t="str">
        <f>IF(I63&gt;100000,"high sales","normal sales")</f>
        <v>high sales</v>
      </c>
      <c r="L63" t="str">
        <f>TEXT(J63,"MMM")</f>
        <v>Apr</v>
      </c>
      <c r="M63" s="3">
        <f t="shared" si="0"/>
        <v>30646.800000000003</v>
      </c>
    </row>
    <row r="64" spans="1:13" x14ac:dyDescent="0.35">
      <c r="A64" t="s">
        <v>105</v>
      </c>
      <c r="B64" t="s">
        <v>200</v>
      </c>
      <c r="C64" t="s">
        <v>203</v>
      </c>
      <c r="D64" t="s">
        <v>209</v>
      </c>
      <c r="E64" t="s">
        <v>211</v>
      </c>
      <c r="F64" t="s">
        <v>215</v>
      </c>
      <c r="G64">
        <v>8</v>
      </c>
      <c r="H64">
        <v>44817</v>
      </c>
      <c r="I64">
        <f>G64*H64</f>
        <v>358536</v>
      </c>
      <c r="J64" s="2">
        <v>45778</v>
      </c>
      <c r="K64" t="str">
        <f>IF(I64&gt;100000,"high sales","normal sales")</f>
        <v>high sales</v>
      </c>
      <c r="L64" t="str">
        <f>TEXT(J64,"MMM")</f>
        <v>May</v>
      </c>
      <c r="M64" s="3">
        <f t="shared" si="0"/>
        <v>71707.199999999997</v>
      </c>
    </row>
    <row r="65" spans="1:13" x14ac:dyDescent="0.35">
      <c r="A65" t="s">
        <v>14</v>
      </c>
      <c r="B65" t="s">
        <v>121</v>
      </c>
      <c r="C65" t="s">
        <v>207</v>
      </c>
      <c r="D65" t="s">
        <v>208</v>
      </c>
      <c r="E65" t="s">
        <v>213</v>
      </c>
      <c r="F65" t="s">
        <v>216</v>
      </c>
      <c r="G65">
        <v>1</v>
      </c>
      <c r="H65">
        <v>39725</v>
      </c>
      <c r="I65">
        <f>G65*H65</f>
        <v>39725</v>
      </c>
      <c r="J65" s="2">
        <v>45785</v>
      </c>
      <c r="K65" t="str">
        <f>IF(I65&gt;100000,"high sales","normal sales")</f>
        <v>normal sales</v>
      </c>
      <c r="L65" t="str">
        <f>TEXT(J65,"MMM")</f>
        <v>May</v>
      </c>
      <c r="M65" s="3">
        <f t="shared" si="0"/>
        <v>7945</v>
      </c>
    </row>
    <row r="66" spans="1:13" x14ac:dyDescent="0.35">
      <c r="A66" t="s">
        <v>42</v>
      </c>
      <c r="B66" t="s">
        <v>148</v>
      </c>
      <c r="C66" t="s">
        <v>206</v>
      </c>
      <c r="D66" t="s">
        <v>209</v>
      </c>
      <c r="E66" t="s">
        <v>211</v>
      </c>
      <c r="F66" t="s">
        <v>218</v>
      </c>
      <c r="G66">
        <v>16</v>
      </c>
      <c r="H66">
        <v>31170</v>
      </c>
      <c r="I66">
        <f>G66*H66</f>
        <v>498720</v>
      </c>
      <c r="J66" s="2">
        <v>45787</v>
      </c>
      <c r="K66" t="str">
        <f>IF(I66&gt;100000,"high sales","normal sales")</f>
        <v>high sales</v>
      </c>
      <c r="L66" t="str">
        <f>TEXT(J66,"MMM")</f>
        <v>May</v>
      </c>
      <c r="M66" s="3">
        <f t="shared" si="0"/>
        <v>99744</v>
      </c>
    </row>
    <row r="67" spans="1:13" x14ac:dyDescent="0.35">
      <c r="A67" t="s">
        <v>72</v>
      </c>
      <c r="B67" t="s">
        <v>174</v>
      </c>
      <c r="C67" t="s">
        <v>205</v>
      </c>
      <c r="D67" t="s">
        <v>209</v>
      </c>
      <c r="E67" t="s">
        <v>212</v>
      </c>
      <c r="F67" t="s">
        <v>218</v>
      </c>
      <c r="G67">
        <v>18</v>
      </c>
      <c r="H67">
        <v>5697</v>
      </c>
      <c r="I67">
        <f>G67*H67</f>
        <v>102546</v>
      </c>
      <c r="J67" s="2">
        <v>45794</v>
      </c>
      <c r="K67" t="str">
        <f>IF(I67&gt;100000,"high sales","normal sales")</f>
        <v>high sales</v>
      </c>
      <c r="L67" t="str">
        <f>TEXT(J67,"MMM")</f>
        <v>May</v>
      </c>
      <c r="M67" s="3">
        <f t="shared" ref="M67:M100" si="1">I67*20%</f>
        <v>20509.2</v>
      </c>
    </row>
    <row r="68" spans="1:13" x14ac:dyDescent="0.35">
      <c r="A68" t="s">
        <v>73</v>
      </c>
      <c r="B68" t="s">
        <v>175</v>
      </c>
      <c r="C68" t="s">
        <v>207</v>
      </c>
      <c r="D68" t="s">
        <v>208</v>
      </c>
      <c r="E68" t="s">
        <v>211</v>
      </c>
      <c r="F68" t="s">
        <v>219</v>
      </c>
      <c r="G68">
        <v>20</v>
      </c>
      <c r="H68">
        <v>11971</v>
      </c>
      <c r="I68">
        <f>G68*H68</f>
        <v>239420</v>
      </c>
      <c r="J68" s="2">
        <v>45798</v>
      </c>
      <c r="K68" t="str">
        <f>IF(I68&gt;100000,"high sales","normal sales")</f>
        <v>high sales</v>
      </c>
      <c r="L68" t="str">
        <f>TEXT(J68,"MMM")</f>
        <v>May</v>
      </c>
      <c r="M68" s="3">
        <f t="shared" si="1"/>
        <v>47884</v>
      </c>
    </row>
    <row r="69" spans="1:13" x14ac:dyDescent="0.35">
      <c r="A69" t="s">
        <v>82</v>
      </c>
      <c r="B69" t="s">
        <v>117</v>
      </c>
      <c r="C69" t="s">
        <v>204</v>
      </c>
      <c r="D69" t="s">
        <v>210</v>
      </c>
      <c r="E69" t="s">
        <v>214</v>
      </c>
      <c r="F69" t="s">
        <v>217</v>
      </c>
      <c r="G69">
        <v>3</v>
      </c>
      <c r="H69">
        <v>2639</v>
      </c>
      <c r="I69">
        <f>G69*H69</f>
        <v>7917</v>
      </c>
      <c r="J69" s="2">
        <v>45803</v>
      </c>
      <c r="K69" t="str">
        <f>IF(I69&gt;100000,"high sales","normal sales")</f>
        <v>normal sales</v>
      </c>
      <c r="L69" t="str">
        <f>TEXT(J69,"MMM")</f>
        <v>May</v>
      </c>
      <c r="M69" s="3">
        <f t="shared" si="1"/>
        <v>1583.4</v>
      </c>
    </row>
    <row r="70" spans="1:13" x14ac:dyDescent="0.35">
      <c r="A70" t="s">
        <v>34</v>
      </c>
      <c r="B70" t="s">
        <v>140</v>
      </c>
      <c r="C70" t="s">
        <v>203</v>
      </c>
      <c r="D70" t="s">
        <v>208</v>
      </c>
      <c r="E70" t="s">
        <v>214</v>
      </c>
      <c r="F70" t="s">
        <v>217</v>
      </c>
      <c r="G70">
        <v>6</v>
      </c>
      <c r="H70">
        <v>16890</v>
      </c>
      <c r="I70">
        <f>G70*H70</f>
        <v>101340</v>
      </c>
      <c r="J70" s="2">
        <v>45817</v>
      </c>
      <c r="K70" t="str">
        <f>IF(I70&gt;100000,"high sales","normal sales")</f>
        <v>high sales</v>
      </c>
      <c r="L70" t="str">
        <f>TEXT(J70,"MMM")</f>
        <v>Jun</v>
      </c>
      <c r="M70" s="3">
        <f t="shared" si="1"/>
        <v>20268</v>
      </c>
    </row>
    <row r="71" spans="1:13" x14ac:dyDescent="0.35">
      <c r="A71" t="s">
        <v>86</v>
      </c>
      <c r="B71" t="s">
        <v>183</v>
      </c>
      <c r="C71" t="s">
        <v>203</v>
      </c>
      <c r="D71" t="s">
        <v>210</v>
      </c>
      <c r="E71" t="s">
        <v>213</v>
      </c>
      <c r="F71" t="s">
        <v>219</v>
      </c>
      <c r="G71">
        <v>18</v>
      </c>
      <c r="H71">
        <v>31132</v>
      </c>
      <c r="I71">
        <f>G71*H71</f>
        <v>560376</v>
      </c>
      <c r="J71" s="2">
        <v>45836</v>
      </c>
      <c r="K71" t="str">
        <f>IF(I71&gt;100000,"high sales","normal sales")</f>
        <v>high sales</v>
      </c>
      <c r="L71" t="str">
        <f>TEXT(J71,"MMM")</f>
        <v>Jun</v>
      </c>
      <c r="M71" s="3">
        <f t="shared" si="1"/>
        <v>112075.20000000001</v>
      </c>
    </row>
    <row r="72" spans="1:13" x14ac:dyDescent="0.35">
      <c r="A72" t="s">
        <v>84</v>
      </c>
      <c r="B72" t="s">
        <v>181</v>
      </c>
      <c r="C72" t="s">
        <v>205</v>
      </c>
      <c r="D72" t="s">
        <v>210</v>
      </c>
      <c r="E72" t="s">
        <v>212</v>
      </c>
      <c r="F72" t="s">
        <v>219</v>
      </c>
      <c r="G72">
        <v>5</v>
      </c>
      <c r="H72">
        <v>6881</v>
      </c>
      <c r="I72">
        <f>G72*H72</f>
        <v>34405</v>
      </c>
      <c r="J72" s="2">
        <v>45837</v>
      </c>
      <c r="K72" t="str">
        <f>IF(I72&gt;100000,"high sales","normal sales")</f>
        <v>normal sales</v>
      </c>
      <c r="L72" t="str">
        <f>TEXT(J72,"MMM")</f>
        <v>Jun</v>
      </c>
      <c r="M72" s="3">
        <f t="shared" si="1"/>
        <v>6881</v>
      </c>
    </row>
    <row r="73" spans="1:13" x14ac:dyDescent="0.35">
      <c r="A73" t="s">
        <v>60</v>
      </c>
      <c r="B73" t="s">
        <v>163</v>
      </c>
      <c r="C73" t="s">
        <v>203</v>
      </c>
      <c r="D73" t="s">
        <v>210</v>
      </c>
      <c r="E73" t="s">
        <v>213</v>
      </c>
      <c r="F73" t="s">
        <v>219</v>
      </c>
      <c r="G73">
        <v>18</v>
      </c>
      <c r="H73">
        <v>30279</v>
      </c>
      <c r="I73">
        <f>G73*H73</f>
        <v>545022</v>
      </c>
      <c r="J73" s="2">
        <v>45844</v>
      </c>
      <c r="K73" t="str">
        <f>IF(I73&gt;100000,"high sales","normal sales")</f>
        <v>high sales</v>
      </c>
      <c r="L73" t="str">
        <f>TEXT(J73,"MMM")</f>
        <v>Jul</v>
      </c>
      <c r="M73" s="3">
        <f t="shared" si="1"/>
        <v>109004.40000000001</v>
      </c>
    </row>
    <row r="74" spans="1:13" x14ac:dyDescent="0.35">
      <c r="A74" t="s">
        <v>65</v>
      </c>
      <c r="B74" t="s">
        <v>168</v>
      </c>
      <c r="C74" t="s">
        <v>204</v>
      </c>
      <c r="D74" t="s">
        <v>208</v>
      </c>
      <c r="E74" t="s">
        <v>212</v>
      </c>
      <c r="F74" t="s">
        <v>218</v>
      </c>
      <c r="G74">
        <v>15</v>
      </c>
      <c r="H74">
        <v>35161</v>
      </c>
      <c r="I74">
        <f>G74*H74</f>
        <v>527415</v>
      </c>
      <c r="J74" s="2">
        <v>45845</v>
      </c>
      <c r="K74" t="str">
        <f>IF(I74&gt;100000,"high sales","normal sales")</f>
        <v>high sales</v>
      </c>
      <c r="L74" t="str">
        <f>TEXT(J74,"MMM")</f>
        <v>Jul</v>
      </c>
      <c r="M74" s="3">
        <f t="shared" si="1"/>
        <v>105483</v>
      </c>
    </row>
    <row r="75" spans="1:13" x14ac:dyDescent="0.35">
      <c r="A75" t="s">
        <v>53</v>
      </c>
      <c r="B75" t="s">
        <v>157</v>
      </c>
      <c r="C75" t="s">
        <v>204</v>
      </c>
      <c r="D75" t="s">
        <v>208</v>
      </c>
      <c r="E75" t="s">
        <v>213</v>
      </c>
      <c r="F75" t="s">
        <v>215</v>
      </c>
      <c r="G75">
        <v>5</v>
      </c>
      <c r="H75">
        <v>22266</v>
      </c>
      <c r="I75">
        <f>G75*H75</f>
        <v>111330</v>
      </c>
      <c r="J75" s="2">
        <v>45848</v>
      </c>
      <c r="K75" t="str">
        <f>IF(I75&gt;100000,"high sales","normal sales")</f>
        <v>high sales</v>
      </c>
      <c r="L75" t="str">
        <f>TEXT(J75,"MMM")</f>
        <v>Jul</v>
      </c>
      <c r="M75" s="3">
        <f t="shared" si="1"/>
        <v>22266</v>
      </c>
    </row>
    <row r="76" spans="1:13" x14ac:dyDescent="0.35">
      <c r="A76" t="s">
        <v>108</v>
      </c>
      <c r="B76" t="s">
        <v>115</v>
      </c>
      <c r="C76" t="s">
        <v>205</v>
      </c>
      <c r="D76" t="s">
        <v>210</v>
      </c>
      <c r="E76" t="s">
        <v>213</v>
      </c>
      <c r="F76" t="s">
        <v>219</v>
      </c>
      <c r="G76">
        <v>8</v>
      </c>
      <c r="H76">
        <v>11058</v>
      </c>
      <c r="I76">
        <f>G76*H76</f>
        <v>88464</v>
      </c>
      <c r="J76" s="2">
        <v>45851</v>
      </c>
      <c r="K76" t="str">
        <f>IF(I76&gt;100000,"high sales","normal sales")</f>
        <v>normal sales</v>
      </c>
      <c r="L76" t="str">
        <f>TEXT(J76,"MMM")</f>
        <v>Jul</v>
      </c>
      <c r="M76" s="3">
        <f t="shared" si="1"/>
        <v>17692.8</v>
      </c>
    </row>
    <row r="77" spans="1:13" x14ac:dyDescent="0.35">
      <c r="A77" t="s">
        <v>17</v>
      </c>
      <c r="B77" t="s">
        <v>124</v>
      </c>
      <c r="C77" t="s">
        <v>205</v>
      </c>
      <c r="D77" t="s">
        <v>209</v>
      </c>
      <c r="E77" t="s">
        <v>214</v>
      </c>
      <c r="F77" t="s">
        <v>218</v>
      </c>
      <c r="G77">
        <v>14</v>
      </c>
      <c r="H77">
        <v>14747</v>
      </c>
      <c r="I77">
        <f>G77*H77</f>
        <v>206458</v>
      </c>
      <c r="J77" s="2">
        <v>45874</v>
      </c>
      <c r="K77" t="str">
        <f>IF(I77&gt;100000,"high sales","normal sales")</f>
        <v>high sales</v>
      </c>
      <c r="L77" t="str">
        <f>TEXT(J77,"MMM")</f>
        <v>Aug</v>
      </c>
      <c r="M77" s="3">
        <f t="shared" si="1"/>
        <v>41291.600000000006</v>
      </c>
    </row>
    <row r="78" spans="1:13" x14ac:dyDescent="0.35">
      <c r="A78" t="s">
        <v>59</v>
      </c>
      <c r="B78" t="s">
        <v>162</v>
      </c>
      <c r="C78" t="s">
        <v>206</v>
      </c>
      <c r="D78" t="s">
        <v>210</v>
      </c>
      <c r="E78" t="s">
        <v>212</v>
      </c>
      <c r="F78" t="s">
        <v>218</v>
      </c>
      <c r="G78">
        <v>17</v>
      </c>
      <c r="H78">
        <v>37326</v>
      </c>
      <c r="I78">
        <f>G78*H78</f>
        <v>634542</v>
      </c>
      <c r="J78" s="2">
        <v>45878</v>
      </c>
      <c r="K78" t="str">
        <f>IF(I78&gt;100000,"high sales","normal sales")</f>
        <v>high sales</v>
      </c>
      <c r="L78" t="str">
        <f>TEXT(J78,"MMM")</f>
        <v>Aug</v>
      </c>
      <c r="M78" s="3">
        <f t="shared" si="1"/>
        <v>126908.40000000001</v>
      </c>
    </row>
    <row r="79" spans="1:13" x14ac:dyDescent="0.35">
      <c r="A79" t="s">
        <v>26</v>
      </c>
      <c r="B79" t="s">
        <v>133</v>
      </c>
      <c r="C79" t="s">
        <v>207</v>
      </c>
      <c r="D79" t="s">
        <v>209</v>
      </c>
      <c r="E79" t="s">
        <v>212</v>
      </c>
      <c r="F79" t="s">
        <v>219</v>
      </c>
      <c r="G79">
        <v>20</v>
      </c>
      <c r="H79">
        <v>31347</v>
      </c>
      <c r="I79">
        <f>G79*H79</f>
        <v>626940</v>
      </c>
      <c r="J79" s="2">
        <v>45880</v>
      </c>
      <c r="K79" t="str">
        <f>IF(I79&gt;100000,"high sales","normal sales")</f>
        <v>high sales</v>
      </c>
      <c r="L79" t="str">
        <f>TEXT(J79,"MMM")</f>
        <v>Aug</v>
      </c>
      <c r="M79" s="3">
        <f t="shared" si="1"/>
        <v>125388</v>
      </c>
    </row>
    <row r="80" spans="1:13" x14ac:dyDescent="0.35">
      <c r="A80" t="s">
        <v>85</v>
      </c>
      <c r="B80" t="s">
        <v>182</v>
      </c>
      <c r="C80" t="s">
        <v>205</v>
      </c>
      <c r="D80" t="s">
        <v>208</v>
      </c>
      <c r="E80" t="s">
        <v>212</v>
      </c>
      <c r="F80" t="s">
        <v>215</v>
      </c>
      <c r="G80">
        <v>10</v>
      </c>
      <c r="H80">
        <v>9543</v>
      </c>
      <c r="I80">
        <f>G80*H80</f>
        <v>95430</v>
      </c>
      <c r="J80" s="2">
        <v>45884</v>
      </c>
      <c r="K80" t="str">
        <f>IF(I80&gt;100000,"high sales","normal sales")</f>
        <v>normal sales</v>
      </c>
      <c r="L80" t="str">
        <f>TEXT(J80,"MMM")</f>
        <v>Aug</v>
      </c>
      <c r="M80" s="3">
        <f t="shared" si="1"/>
        <v>19086</v>
      </c>
    </row>
    <row r="81" spans="1:13" x14ac:dyDescent="0.35">
      <c r="A81" t="s">
        <v>90</v>
      </c>
      <c r="B81" t="s">
        <v>186</v>
      </c>
      <c r="C81" t="s">
        <v>207</v>
      </c>
      <c r="D81" t="s">
        <v>210</v>
      </c>
      <c r="E81" t="s">
        <v>213</v>
      </c>
      <c r="F81" t="s">
        <v>217</v>
      </c>
      <c r="G81">
        <v>8</v>
      </c>
      <c r="H81">
        <v>14116</v>
      </c>
      <c r="I81">
        <f>G81*H81</f>
        <v>112928</v>
      </c>
      <c r="J81" s="2">
        <v>45884</v>
      </c>
      <c r="K81" t="str">
        <f>IF(I81&gt;100000,"high sales","normal sales")</f>
        <v>high sales</v>
      </c>
      <c r="L81" t="str">
        <f>TEXT(J81,"MMM")</f>
        <v>Aug</v>
      </c>
      <c r="M81" s="3">
        <f t="shared" si="1"/>
        <v>22585.600000000002</v>
      </c>
    </row>
    <row r="82" spans="1:13" x14ac:dyDescent="0.35">
      <c r="A82" t="s">
        <v>89</v>
      </c>
      <c r="B82" t="s">
        <v>185</v>
      </c>
      <c r="C82" t="s">
        <v>204</v>
      </c>
      <c r="D82" t="s">
        <v>209</v>
      </c>
      <c r="E82" t="s">
        <v>213</v>
      </c>
      <c r="F82" t="s">
        <v>215</v>
      </c>
      <c r="G82">
        <v>16</v>
      </c>
      <c r="H82">
        <v>15281</v>
      </c>
      <c r="I82">
        <f>G82*H82</f>
        <v>244496</v>
      </c>
      <c r="J82" s="2">
        <v>45891</v>
      </c>
      <c r="K82" t="str">
        <f>IF(I82&gt;100000,"high sales","normal sales")</f>
        <v>high sales</v>
      </c>
      <c r="L82" t="str">
        <f>TEXT(J82,"MMM")</f>
        <v>Aug</v>
      </c>
      <c r="M82" s="3">
        <f t="shared" si="1"/>
        <v>48899.200000000004</v>
      </c>
    </row>
    <row r="83" spans="1:13" x14ac:dyDescent="0.35">
      <c r="A83" t="s">
        <v>74</v>
      </c>
      <c r="B83" t="s">
        <v>144</v>
      </c>
      <c r="C83" t="s">
        <v>204</v>
      </c>
      <c r="D83" t="s">
        <v>209</v>
      </c>
      <c r="E83" t="s">
        <v>214</v>
      </c>
      <c r="F83" t="s">
        <v>218</v>
      </c>
      <c r="G83">
        <v>11</v>
      </c>
      <c r="H83">
        <v>28357</v>
      </c>
      <c r="I83">
        <f>G83*H83</f>
        <v>311927</v>
      </c>
      <c r="J83" s="2">
        <v>45900</v>
      </c>
      <c r="K83" t="str">
        <f>IF(I83&gt;100000,"high sales","normal sales")</f>
        <v>high sales</v>
      </c>
      <c r="L83" t="str">
        <f>TEXT(J83,"MMM")</f>
        <v>Aug</v>
      </c>
      <c r="M83" s="3">
        <f t="shared" si="1"/>
        <v>62385.4</v>
      </c>
    </row>
    <row r="84" spans="1:13" x14ac:dyDescent="0.35">
      <c r="A84" t="s">
        <v>70</v>
      </c>
      <c r="B84" t="s">
        <v>113</v>
      </c>
      <c r="C84" t="s">
        <v>207</v>
      </c>
      <c r="D84" t="s">
        <v>208</v>
      </c>
      <c r="E84" t="s">
        <v>214</v>
      </c>
      <c r="F84" t="s">
        <v>215</v>
      </c>
      <c r="G84">
        <v>17</v>
      </c>
      <c r="H84">
        <v>21740</v>
      </c>
      <c r="I84">
        <f>G84*H84</f>
        <v>369580</v>
      </c>
      <c r="J84" s="2">
        <v>45903</v>
      </c>
      <c r="K84" t="str">
        <f>IF(I84&gt;100000,"high sales","normal sales")</f>
        <v>high sales</v>
      </c>
      <c r="L84" t="str">
        <f>TEXT(J84,"MMM")</f>
        <v>Sep</v>
      </c>
      <c r="M84" s="3">
        <f t="shared" si="1"/>
        <v>73916</v>
      </c>
    </row>
    <row r="85" spans="1:13" x14ac:dyDescent="0.35">
      <c r="A85" t="s">
        <v>79</v>
      </c>
      <c r="B85" t="s">
        <v>178</v>
      </c>
      <c r="C85" t="s">
        <v>204</v>
      </c>
      <c r="D85" t="s">
        <v>209</v>
      </c>
      <c r="E85" t="s">
        <v>212</v>
      </c>
      <c r="F85" t="s">
        <v>216</v>
      </c>
      <c r="G85">
        <v>19</v>
      </c>
      <c r="H85">
        <v>40762</v>
      </c>
      <c r="I85">
        <f>G85*H85</f>
        <v>774478</v>
      </c>
      <c r="J85" s="2">
        <v>45905</v>
      </c>
      <c r="K85" t="str">
        <f>IF(I85&gt;100000,"high sales","normal sales")</f>
        <v>high sales</v>
      </c>
      <c r="L85" t="str">
        <f>TEXT(J85,"MMM")</f>
        <v>Sep</v>
      </c>
      <c r="M85" s="3">
        <f t="shared" si="1"/>
        <v>154895.6</v>
      </c>
    </row>
    <row r="86" spans="1:13" x14ac:dyDescent="0.35">
      <c r="A86" t="s">
        <v>66</v>
      </c>
      <c r="B86" t="s">
        <v>169</v>
      </c>
      <c r="C86" t="s">
        <v>207</v>
      </c>
      <c r="D86" t="s">
        <v>209</v>
      </c>
      <c r="E86" t="s">
        <v>213</v>
      </c>
      <c r="F86" t="s">
        <v>216</v>
      </c>
      <c r="G86">
        <v>5</v>
      </c>
      <c r="H86">
        <v>10742</v>
      </c>
      <c r="I86">
        <f>G86*H86</f>
        <v>53710</v>
      </c>
      <c r="J86" s="2">
        <v>45913</v>
      </c>
      <c r="K86" t="str">
        <f>IF(I86&gt;100000,"high sales","normal sales")</f>
        <v>normal sales</v>
      </c>
      <c r="L86" t="str">
        <f>TEXT(J86,"MMM")</f>
        <v>Sep</v>
      </c>
      <c r="M86" s="3">
        <f t="shared" si="1"/>
        <v>10742</v>
      </c>
    </row>
    <row r="87" spans="1:13" x14ac:dyDescent="0.35">
      <c r="A87" t="s">
        <v>93</v>
      </c>
      <c r="B87" t="s">
        <v>189</v>
      </c>
      <c r="C87" t="s">
        <v>204</v>
      </c>
      <c r="D87" t="s">
        <v>210</v>
      </c>
      <c r="E87" t="s">
        <v>211</v>
      </c>
      <c r="F87" t="s">
        <v>217</v>
      </c>
      <c r="G87">
        <v>18</v>
      </c>
      <c r="H87">
        <v>40787</v>
      </c>
      <c r="I87">
        <f>G87*H87</f>
        <v>734166</v>
      </c>
      <c r="J87" s="2">
        <v>45926</v>
      </c>
      <c r="K87" t="str">
        <f>IF(I87&gt;100000,"high sales","normal sales")</f>
        <v>high sales</v>
      </c>
      <c r="L87" t="str">
        <f>TEXT(J87,"MMM")</f>
        <v>Sep</v>
      </c>
      <c r="M87" s="3">
        <f t="shared" si="1"/>
        <v>146833.20000000001</v>
      </c>
    </row>
    <row r="88" spans="1:13" x14ac:dyDescent="0.35">
      <c r="A88" t="s">
        <v>35</v>
      </c>
      <c r="B88" t="s">
        <v>142</v>
      </c>
      <c r="C88" t="s">
        <v>206</v>
      </c>
      <c r="D88" t="s">
        <v>210</v>
      </c>
      <c r="E88" t="s">
        <v>212</v>
      </c>
      <c r="F88" t="s">
        <v>219</v>
      </c>
      <c r="G88">
        <v>18</v>
      </c>
      <c r="H88">
        <v>7182</v>
      </c>
      <c r="I88">
        <f>G88*H88</f>
        <v>129276</v>
      </c>
      <c r="J88" s="2">
        <v>45928</v>
      </c>
      <c r="K88" t="str">
        <f>IF(I88&gt;100000,"high sales","normal sales")</f>
        <v>high sales</v>
      </c>
      <c r="L88" t="str">
        <f>TEXT(J88,"MMM")</f>
        <v>Sep</v>
      </c>
      <c r="M88" s="3">
        <f t="shared" si="1"/>
        <v>25855.200000000001</v>
      </c>
    </row>
    <row r="89" spans="1:13" x14ac:dyDescent="0.35">
      <c r="A89" t="s">
        <v>95</v>
      </c>
      <c r="B89" t="s">
        <v>191</v>
      </c>
      <c r="C89" t="s">
        <v>203</v>
      </c>
      <c r="D89" t="s">
        <v>209</v>
      </c>
      <c r="E89" t="s">
        <v>213</v>
      </c>
      <c r="F89" t="s">
        <v>219</v>
      </c>
      <c r="G89">
        <v>20</v>
      </c>
      <c r="H89">
        <v>4438</v>
      </c>
      <c r="I89">
        <f>G89*H89</f>
        <v>88760</v>
      </c>
      <c r="J89" s="2">
        <v>45929</v>
      </c>
      <c r="K89" t="str">
        <f>IF(I89&gt;100000,"high sales","normal sales")</f>
        <v>normal sales</v>
      </c>
      <c r="L89" t="str">
        <f>TEXT(J89,"MMM")</f>
        <v>Sep</v>
      </c>
      <c r="M89" s="3">
        <f t="shared" si="1"/>
        <v>17752</v>
      </c>
    </row>
    <row r="90" spans="1:13" x14ac:dyDescent="0.35">
      <c r="A90" t="s">
        <v>83</v>
      </c>
      <c r="B90" t="s">
        <v>180</v>
      </c>
      <c r="C90" t="s">
        <v>205</v>
      </c>
      <c r="D90" t="s">
        <v>208</v>
      </c>
      <c r="E90" t="s">
        <v>214</v>
      </c>
      <c r="F90" t="s">
        <v>218</v>
      </c>
      <c r="G90">
        <v>5</v>
      </c>
      <c r="H90">
        <v>22204</v>
      </c>
      <c r="I90">
        <f>G90*H90</f>
        <v>111020</v>
      </c>
      <c r="J90" s="2">
        <v>45932</v>
      </c>
      <c r="K90" t="str">
        <f>IF(I90&gt;100000,"high sales","normal sales")</f>
        <v>high sales</v>
      </c>
      <c r="L90" t="str">
        <f>TEXT(J90,"MMM")</f>
        <v>Oct</v>
      </c>
      <c r="M90" s="3">
        <f t="shared" si="1"/>
        <v>22204</v>
      </c>
    </row>
    <row r="91" spans="1:13" x14ac:dyDescent="0.35">
      <c r="A91" t="s">
        <v>69</v>
      </c>
      <c r="B91" t="s">
        <v>172</v>
      </c>
      <c r="C91" t="s">
        <v>207</v>
      </c>
      <c r="D91" t="s">
        <v>208</v>
      </c>
      <c r="E91" t="s">
        <v>211</v>
      </c>
      <c r="F91" t="s">
        <v>217</v>
      </c>
      <c r="G91">
        <v>16</v>
      </c>
      <c r="H91">
        <v>19682</v>
      </c>
      <c r="I91">
        <f>G91*H91</f>
        <v>314912</v>
      </c>
      <c r="J91" s="2">
        <v>45942</v>
      </c>
      <c r="K91" t="str">
        <f>IF(I91&gt;100000,"high sales","normal sales")</f>
        <v>high sales</v>
      </c>
      <c r="L91" t="str">
        <f>TEXT(J91,"MMM")</f>
        <v>Oct</v>
      </c>
      <c r="M91" s="3">
        <f t="shared" si="1"/>
        <v>62982.400000000001</v>
      </c>
    </row>
    <row r="92" spans="1:13" x14ac:dyDescent="0.35">
      <c r="A92" t="s">
        <v>98</v>
      </c>
      <c r="B92" t="s">
        <v>182</v>
      </c>
      <c r="C92" t="s">
        <v>205</v>
      </c>
      <c r="D92" t="s">
        <v>209</v>
      </c>
      <c r="E92" t="s">
        <v>214</v>
      </c>
      <c r="F92" t="s">
        <v>216</v>
      </c>
      <c r="G92">
        <v>14</v>
      </c>
      <c r="H92">
        <v>48991</v>
      </c>
      <c r="I92">
        <f>G92*H92</f>
        <v>685874</v>
      </c>
      <c r="J92" s="2">
        <v>45944</v>
      </c>
      <c r="K92" t="str">
        <f>IF(I92&gt;100000,"high sales","normal sales")</f>
        <v>high sales</v>
      </c>
      <c r="L92" t="str">
        <f>TEXT(J92,"MMM")</f>
        <v>Oct</v>
      </c>
      <c r="M92" s="3">
        <f t="shared" si="1"/>
        <v>137174.80000000002</v>
      </c>
    </row>
    <row r="93" spans="1:13" x14ac:dyDescent="0.35">
      <c r="A93" t="s">
        <v>71</v>
      </c>
      <c r="B93" t="s">
        <v>173</v>
      </c>
      <c r="C93" t="s">
        <v>205</v>
      </c>
      <c r="D93" t="s">
        <v>208</v>
      </c>
      <c r="E93" t="s">
        <v>212</v>
      </c>
      <c r="F93" t="s">
        <v>217</v>
      </c>
      <c r="G93">
        <v>12</v>
      </c>
      <c r="H93">
        <v>33216</v>
      </c>
      <c r="I93">
        <f>G93*H93</f>
        <v>398592</v>
      </c>
      <c r="J93" s="2">
        <v>45951</v>
      </c>
      <c r="K93" t="str">
        <f>IF(I93&gt;100000,"high sales","normal sales")</f>
        <v>high sales</v>
      </c>
      <c r="L93" t="str">
        <f>TEXT(J93,"MMM")</f>
        <v>Oct</v>
      </c>
      <c r="M93" s="3">
        <f t="shared" si="1"/>
        <v>79718.400000000009</v>
      </c>
    </row>
    <row r="94" spans="1:13" x14ac:dyDescent="0.35">
      <c r="A94" t="s">
        <v>50</v>
      </c>
      <c r="B94" t="s">
        <v>155</v>
      </c>
      <c r="C94" t="s">
        <v>207</v>
      </c>
      <c r="D94" t="s">
        <v>210</v>
      </c>
      <c r="E94" t="s">
        <v>213</v>
      </c>
      <c r="F94" t="s">
        <v>219</v>
      </c>
      <c r="G94">
        <v>16</v>
      </c>
      <c r="H94">
        <v>34698</v>
      </c>
      <c r="I94">
        <f>G94*H94</f>
        <v>555168</v>
      </c>
      <c r="J94" s="2">
        <v>45977</v>
      </c>
      <c r="K94" t="str">
        <f>IF(I94&gt;100000,"high sales","normal sales")</f>
        <v>high sales</v>
      </c>
      <c r="L94" t="str">
        <f>TEXT(J94,"MMM")</f>
        <v>Nov</v>
      </c>
      <c r="M94" s="3">
        <f t="shared" si="1"/>
        <v>111033.60000000001</v>
      </c>
    </row>
    <row r="95" spans="1:13" x14ac:dyDescent="0.35">
      <c r="A95" t="s">
        <v>96</v>
      </c>
      <c r="B95" t="s">
        <v>192</v>
      </c>
      <c r="C95" t="s">
        <v>206</v>
      </c>
      <c r="D95" t="s">
        <v>208</v>
      </c>
      <c r="E95" t="s">
        <v>213</v>
      </c>
      <c r="F95" t="s">
        <v>217</v>
      </c>
      <c r="G95">
        <v>13</v>
      </c>
      <c r="H95">
        <v>48946</v>
      </c>
      <c r="I95">
        <f>G95*H95</f>
        <v>636298</v>
      </c>
      <c r="J95" s="2">
        <v>45981</v>
      </c>
      <c r="K95" t="str">
        <f>IF(I95&gt;100000,"high sales","normal sales")</f>
        <v>high sales</v>
      </c>
      <c r="L95" t="str">
        <f>TEXT(J95,"MMM")</f>
        <v>Nov</v>
      </c>
      <c r="M95" s="3">
        <f t="shared" si="1"/>
        <v>127259.6</v>
      </c>
    </row>
    <row r="96" spans="1:13" x14ac:dyDescent="0.35">
      <c r="A96" t="s">
        <v>102</v>
      </c>
      <c r="B96" t="s">
        <v>197</v>
      </c>
      <c r="C96" t="s">
        <v>207</v>
      </c>
      <c r="D96" t="s">
        <v>210</v>
      </c>
      <c r="E96" t="s">
        <v>212</v>
      </c>
      <c r="F96" t="s">
        <v>218</v>
      </c>
      <c r="G96">
        <v>18</v>
      </c>
      <c r="H96">
        <v>27447</v>
      </c>
      <c r="I96">
        <f>G96*H96</f>
        <v>494046</v>
      </c>
      <c r="J96" s="2">
        <v>45982</v>
      </c>
      <c r="K96" t="str">
        <f>IF(I96&gt;100000,"high sales","normal sales")</f>
        <v>high sales</v>
      </c>
      <c r="L96" t="str">
        <f>TEXT(J96,"MMM")</f>
        <v>Nov</v>
      </c>
      <c r="M96" s="3">
        <f t="shared" si="1"/>
        <v>98809.200000000012</v>
      </c>
    </row>
    <row r="97" spans="1:13" x14ac:dyDescent="0.35">
      <c r="A97" t="s">
        <v>19</v>
      </c>
      <c r="B97" t="s">
        <v>126</v>
      </c>
      <c r="C97" t="s">
        <v>205</v>
      </c>
      <c r="D97" t="s">
        <v>210</v>
      </c>
      <c r="E97" t="s">
        <v>212</v>
      </c>
      <c r="F97" t="s">
        <v>218</v>
      </c>
      <c r="G97">
        <v>14</v>
      </c>
      <c r="H97">
        <v>11282</v>
      </c>
      <c r="I97">
        <f>G97*H97</f>
        <v>157948</v>
      </c>
      <c r="J97" s="2">
        <v>45989</v>
      </c>
      <c r="K97" t="str">
        <f>IF(I97&gt;100000,"high sales","normal sales")</f>
        <v>high sales</v>
      </c>
      <c r="L97" t="str">
        <f>TEXT(J97,"MMM")</f>
        <v>Nov</v>
      </c>
      <c r="M97" s="3">
        <f t="shared" si="1"/>
        <v>31589.600000000002</v>
      </c>
    </row>
    <row r="98" spans="1:13" x14ac:dyDescent="0.35">
      <c r="A98" t="s">
        <v>51</v>
      </c>
      <c r="B98" t="s">
        <v>114</v>
      </c>
      <c r="C98" t="s">
        <v>203</v>
      </c>
      <c r="D98" t="s">
        <v>210</v>
      </c>
      <c r="E98" t="s">
        <v>213</v>
      </c>
      <c r="F98" t="s">
        <v>215</v>
      </c>
      <c r="G98">
        <v>4</v>
      </c>
      <c r="H98">
        <v>15613</v>
      </c>
      <c r="I98">
        <f>G98*H98</f>
        <v>62452</v>
      </c>
      <c r="J98" s="2">
        <v>45995</v>
      </c>
      <c r="K98" t="str">
        <f>IF(I98&gt;100000,"high sales","normal sales")</f>
        <v>normal sales</v>
      </c>
      <c r="L98" t="str">
        <f>TEXT(J98,"MMM")</f>
        <v>Dec</v>
      </c>
      <c r="M98" s="3">
        <f t="shared" si="1"/>
        <v>12490.400000000001</v>
      </c>
    </row>
    <row r="99" spans="1:13" x14ac:dyDescent="0.35">
      <c r="A99" t="s">
        <v>103</v>
      </c>
      <c r="B99" t="s">
        <v>198</v>
      </c>
      <c r="C99" t="s">
        <v>204</v>
      </c>
      <c r="D99" t="s">
        <v>208</v>
      </c>
      <c r="E99" t="s">
        <v>214</v>
      </c>
      <c r="F99" t="s">
        <v>218</v>
      </c>
      <c r="G99">
        <v>7</v>
      </c>
      <c r="H99">
        <v>29875</v>
      </c>
      <c r="I99">
        <f>G99*H99</f>
        <v>209125</v>
      </c>
      <c r="J99" s="2">
        <v>46017</v>
      </c>
      <c r="K99" t="str">
        <f>IF(I99&gt;100000,"high sales","normal sales")</f>
        <v>high sales</v>
      </c>
      <c r="L99" t="str">
        <f>TEXT(J99,"MMM")</f>
        <v>Dec</v>
      </c>
      <c r="M99" s="3">
        <f t="shared" si="1"/>
        <v>41825</v>
      </c>
    </row>
    <row r="100" spans="1:13" x14ac:dyDescent="0.35">
      <c r="A100" t="s">
        <v>43</v>
      </c>
      <c r="B100" t="s">
        <v>140</v>
      </c>
      <c r="C100" t="s">
        <v>207</v>
      </c>
      <c r="D100" t="s">
        <v>210</v>
      </c>
      <c r="E100" t="s">
        <v>211</v>
      </c>
      <c r="F100" t="s">
        <v>219</v>
      </c>
      <c r="G100">
        <v>13</v>
      </c>
      <c r="H100">
        <v>2639</v>
      </c>
      <c r="I100">
        <f>G100*H100</f>
        <v>34307</v>
      </c>
      <c r="J100" s="2">
        <v>46022</v>
      </c>
      <c r="K100" t="str">
        <f>IF(I100&gt;100000,"high sales","normal sales")</f>
        <v>normal sales</v>
      </c>
      <c r="L100" t="str">
        <f>TEXT(J100,"MMM")</f>
        <v>Dec</v>
      </c>
      <c r="M100" s="3">
        <f t="shared" si="1"/>
        <v>6861.4000000000005</v>
      </c>
    </row>
    <row r="103" spans="1:13" x14ac:dyDescent="0.35">
      <c r="H103" t="s">
        <v>220</v>
      </c>
      <c r="I103" s="3">
        <f>AVERAGE(I2:I100)</f>
        <v>281982.55555555556</v>
      </c>
    </row>
  </sheetData>
  <sortState xmlns:xlrd2="http://schemas.microsoft.com/office/spreadsheetml/2017/richdata2" ref="A2:L100">
    <sortCondition ref="J2:J1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vt:lpstr>
      <vt:lpstr>Salesman Performance</vt:lpstr>
      <vt:lpstr>Monthly Sales Trend</vt:lpstr>
      <vt:lpstr>Category Sales Share</vt:lpstr>
      <vt:lpstr>Profit Flow</vt:lpstr>
      <vt:lpstr>Product Sales Trend</vt:lpstr>
      <vt:lpstr>Dashboard</vt:lpstr>
      <vt:lpstr>Key Insights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2026-03-10T03:26:37Z</dcterms:created>
  <dcterms:modified xsi:type="dcterms:W3CDTF">2026-03-10T04:10:52Z</dcterms:modified>
</cp:coreProperties>
</file>