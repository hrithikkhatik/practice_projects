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BD547AC5-1EC9-4D41-B654-CA8AB790E607}" xr6:coauthVersionLast="47" xr6:coauthVersionMax="47" xr10:uidLastSave="{00000000-0000-0000-0000-000000000000}"/>
  <bookViews>
    <workbookView xWindow="-110" yWindow="-110" windowWidth="21820" windowHeight="13900" xr2:uid="{3440B7A6-AEAC-4548-B36A-AD7D1CFC8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3" i="1" l="1"/>
  <c r="AH3" i="1"/>
  <c r="AI3" i="1"/>
  <c r="AG4" i="1"/>
  <c r="AH4" i="1"/>
  <c r="AI4" i="1"/>
  <c r="AG5" i="1"/>
  <c r="AH5" i="1"/>
  <c r="AI5" i="1"/>
  <c r="AI2" i="1"/>
  <c r="AH2" i="1"/>
  <c r="AG2" i="1"/>
  <c r="AF3" i="1"/>
  <c r="AF4" i="1"/>
  <c r="AF5" i="1"/>
  <c r="AF2" i="1"/>
  <c r="AE3" i="1"/>
  <c r="AE4" i="1"/>
  <c r="AE5" i="1"/>
  <c r="AE2" i="1"/>
  <c r="AD3" i="1"/>
  <c r="AD4" i="1"/>
  <c r="AD5" i="1"/>
  <c r="AD2" i="1"/>
  <c r="AC3" i="1"/>
  <c r="AC4" i="1"/>
  <c r="AC5" i="1"/>
  <c r="AC2" i="1"/>
  <c r="AB3" i="1"/>
  <c r="AB4" i="1"/>
  <c r="AB5" i="1"/>
  <c r="AB2" i="1"/>
  <c r="AA3" i="1"/>
  <c r="AA4" i="1"/>
  <c r="AA5" i="1"/>
  <c r="AA2" i="1"/>
  <c r="Z3" i="1"/>
  <c r="Z4" i="1"/>
  <c r="Z5" i="1"/>
  <c r="Z2" i="1"/>
  <c r="Y2" i="1"/>
  <c r="X3" i="1"/>
  <c r="X4" i="1"/>
  <c r="X5" i="1"/>
  <c r="X2" i="1"/>
  <c r="W3" i="1"/>
  <c r="W4" i="1"/>
  <c r="W5" i="1"/>
  <c r="W2" i="1"/>
  <c r="V3" i="1"/>
  <c r="V4" i="1"/>
  <c r="V5" i="1"/>
  <c r="V2" i="1"/>
  <c r="U3" i="1"/>
  <c r="U4" i="1"/>
  <c r="U5" i="1"/>
  <c r="U2" i="1"/>
  <c r="T3" i="1"/>
  <c r="T4" i="1"/>
  <c r="T5" i="1"/>
  <c r="T2" i="1"/>
  <c r="S3" i="1"/>
  <c r="S4" i="1"/>
  <c r="S5" i="1"/>
  <c r="S2" i="1"/>
  <c r="R3" i="1"/>
  <c r="R4" i="1"/>
  <c r="R5" i="1"/>
  <c r="R2" i="1"/>
  <c r="Q3" i="1" a="1"/>
  <c r="Q3" i="1" s="1"/>
  <c r="Q4" i="1" a="1"/>
  <c r="Q4" i="1" s="1"/>
  <c r="Q5" i="1" a="1"/>
  <c r="Q5" i="1"/>
  <c r="Q2" i="1" a="1"/>
  <c r="Q2" i="1" s="1"/>
  <c r="P3" i="1"/>
  <c r="P4" i="1"/>
  <c r="P5" i="1"/>
  <c r="P2" i="1"/>
  <c r="O3" i="1"/>
  <c r="O4" i="1"/>
  <c r="O5" i="1"/>
  <c r="O2" i="1"/>
  <c r="N3" i="1"/>
  <c r="N4" i="1"/>
  <c r="N5" i="1"/>
  <c r="N2" i="1"/>
  <c r="C14" i="1"/>
  <c r="C13" i="1"/>
  <c r="C12" i="1"/>
  <c r="C11" i="1"/>
  <c r="B14" i="1"/>
  <c r="B13" i="1"/>
  <c r="B12" i="1"/>
  <c r="B11" i="1"/>
  <c r="M3" i="1"/>
  <c r="M4" i="1"/>
  <c r="M5" i="1"/>
  <c r="M2" i="1"/>
  <c r="L3" i="1"/>
  <c r="L4" i="1"/>
  <c r="L5" i="1"/>
  <c r="L2" i="1"/>
  <c r="K3" i="1"/>
  <c r="K4" i="1"/>
  <c r="K5" i="1"/>
  <c r="K2" i="1"/>
  <c r="J3" i="1"/>
  <c r="J4" i="1"/>
  <c r="J5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<sst xmlns="http://schemas.openxmlformats.org/spreadsheetml/2006/main" count="51" uniqueCount="48">
  <si>
    <t>ID</t>
  </si>
  <si>
    <t>Name</t>
  </si>
  <si>
    <t>Number 1</t>
  </si>
  <si>
    <t>Number 2</t>
  </si>
  <si>
    <t>Computer</t>
  </si>
  <si>
    <t>Geography</t>
  </si>
  <si>
    <t>English</t>
  </si>
  <si>
    <t>Original Text</t>
  </si>
  <si>
    <t>DOB</t>
  </si>
  <si>
    <t>Jaya</t>
  </si>
  <si>
    <t>The Sun</t>
  </si>
  <si>
    <t>Maya</t>
  </si>
  <si>
    <t>Earth is the blue planet</t>
  </si>
  <si>
    <t>Yash</t>
  </si>
  <si>
    <t>Tuesday</t>
  </si>
  <si>
    <t>Sam</t>
  </si>
  <si>
    <t>My birthday is in January</t>
  </si>
  <si>
    <t>sum</t>
  </si>
  <si>
    <t>sum(constant 10)</t>
  </si>
  <si>
    <t>constant</t>
  </si>
  <si>
    <t>product</t>
  </si>
  <si>
    <t>average</t>
  </si>
  <si>
    <t>details</t>
  </si>
  <si>
    <t>max</t>
  </si>
  <si>
    <t>min</t>
  </si>
  <si>
    <t>sum + 10</t>
  </si>
  <si>
    <t>total marks</t>
  </si>
  <si>
    <t>average marks</t>
  </si>
  <si>
    <t>rank</t>
  </si>
  <si>
    <t>marks&gt;85</t>
  </si>
  <si>
    <t>grade(computer)</t>
  </si>
  <si>
    <t>grade(geography)</t>
  </si>
  <si>
    <t>grade(english)</t>
  </si>
  <si>
    <t>Distinction</t>
  </si>
  <si>
    <t>pass/fail</t>
  </si>
  <si>
    <t>upper case</t>
  </si>
  <si>
    <t>lower case</t>
  </si>
  <si>
    <t>replace</t>
  </si>
  <si>
    <t>length</t>
  </si>
  <si>
    <t>College Code</t>
  </si>
  <si>
    <t>Branch Code</t>
  </si>
  <si>
    <t>Year Code</t>
  </si>
  <si>
    <t>len of id</t>
  </si>
  <si>
    <t>age in years</t>
  </si>
  <si>
    <t>total days</t>
  </si>
  <si>
    <t>days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</si>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</sst>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BDAC-4D3B-4479-99B1-7072AA34B33C}">
  <dimension ref="A1:AI14"/>
  <sheetViews>
    <sheetView tabSelected="1" workbookViewId="0">
      <selection activeCell="I3" sqref="I3"/>
    </sheetView>
  </sheetViews>
  <sheetFormatPr defaultRowHeight="14.5" x14ac:dyDescent="0.35"/>
  <cols>
    <col min="1" max="1" width="8" bestFit="1" customWidth="1"/>
    <col min="2" max="2" width="5.7265625" bestFit="1" customWidth="1"/>
    <col min="3" max="4" width="8.90625" bestFit="1" customWidth="1"/>
    <col min="5" max="5" width="9.1796875" bestFit="1" customWidth="1"/>
    <col min="6" max="6" width="9.7265625" bestFit="1" customWidth="1"/>
    <col min="7" max="7" width="6.90625" bestFit="1" customWidth="1"/>
    <col min="8" max="8" width="20.1796875" bestFit="1" customWidth="1"/>
    <col min="9" max="9" width="9.08984375" bestFit="1" customWidth="1"/>
    <col min="11" max="11" width="15.54296875" bestFit="1" customWidth="1"/>
    <col min="14" max="14" width="10.1796875" bestFit="1" customWidth="1"/>
    <col min="15" max="15" width="12.90625" bestFit="1" customWidth="1"/>
    <col min="17" max="17" width="9" bestFit="1" customWidth="1"/>
    <col min="18" max="18" width="14.90625" bestFit="1" customWidth="1"/>
    <col min="19" max="19" width="15.36328125" bestFit="1" customWidth="1"/>
    <col min="20" max="20" width="12.90625" bestFit="1" customWidth="1"/>
    <col min="21" max="21" width="11.7265625" bestFit="1" customWidth="1"/>
    <col min="23" max="23" width="23.81640625" bestFit="1" customWidth="1"/>
    <col min="24" max="24" width="20.08984375" bestFit="1" customWidth="1"/>
    <col min="25" max="25" width="17.7265625" bestFit="1" customWidth="1"/>
    <col min="27" max="27" width="11.54296875" bestFit="1" customWidth="1"/>
    <col min="28" max="28" width="11.453125" bestFit="1" customWidth="1"/>
    <col min="29" max="29" width="9.26953125" bestFit="1" customWidth="1"/>
    <col min="30" max="30" width="7.453125" bestFit="1" customWidth="1"/>
    <col min="31" max="31" width="10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 t="s">
        <v>18</v>
      </c>
      <c r="L1" s="1" t="s">
        <v>20</v>
      </c>
      <c r="M1" s="1" t="s">
        <v>21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4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</row>
    <row r="2" spans="1:35" x14ac:dyDescent="0.35">
      <c r="A2" s="2">
        <v>1210101</v>
      </c>
      <c r="B2" s="2" t="s">
        <v>9</v>
      </c>
      <c r="C2" s="2">
        <v>5</v>
      </c>
      <c r="D2" s="2">
        <v>24</v>
      </c>
      <c r="E2" s="2">
        <v>80</v>
      </c>
      <c r="F2" s="2">
        <v>89</v>
      </c>
      <c r="G2" s="2">
        <v>92</v>
      </c>
      <c r="H2" s="2" t="s">
        <v>10</v>
      </c>
      <c r="I2" s="3">
        <v>36526</v>
      </c>
      <c r="J2">
        <f>SUM(C2:D2)</f>
        <v>29</v>
      </c>
      <c r="K2">
        <f>SUM(C2:D2,B$7)</f>
        <v>39</v>
      </c>
      <c r="L2">
        <f>PRODUCT(C2:D2)</f>
        <v>120</v>
      </c>
      <c r="M2">
        <f>AVERAGE(C2:D2)</f>
        <v>14.5</v>
      </c>
      <c r="N2">
        <f>SUM(E2:G2)</f>
        <v>261</v>
      </c>
      <c r="O2">
        <f>AVERAGE(E2:G2)</f>
        <v>87</v>
      </c>
      <c r="P2">
        <f>_xlfn.RANK.AVG(N2,$N$2:$N$5,0)</f>
        <v>3</v>
      </c>
      <c r="Q2" t="b" cm="1">
        <f t="array" ref="Q2">AND(E2:G2&gt;85)</f>
        <v>0</v>
      </c>
      <c r="R2" t="str">
        <f>IF(E2&gt;=90,"A",IF(E2&gt;=75,"B","C"))</f>
        <v>B</v>
      </c>
      <c r="S2" t="str">
        <f>IF(F2&gt;=90,"A",IF(F2&gt;=75,"B","C"))</f>
        <v>B</v>
      </c>
      <c r="T2" t="str">
        <f>IF(G2&gt;=90,"A",IF(G2&gt;=75,"B","C"))</f>
        <v>A</v>
      </c>
      <c r="U2" t="str">
        <f>IF(O2&gt;=90,"distinction","no distinction")</f>
        <v>no distinction</v>
      </c>
      <c r="V2" t="str">
        <f>IF(O2&gt;=40,"pass","fail")</f>
        <v>pass</v>
      </c>
      <c r="W2" t="str">
        <f>UPPER(H2)</f>
        <v>THE SUN</v>
      </c>
      <c r="X2" t="str">
        <f>LOWER(H2)</f>
        <v>the sun</v>
      </c>
      <c r="Y2" t="str">
        <f>SUBSTITUTE(H5,"January","April")</f>
        <v>My birthday is in April</v>
      </c>
      <c r="Z2">
        <f>LEN(H2)</f>
        <v>7</v>
      </c>
      <c r="AA2" t="str">
        <f>LEFT(A2,3)</f>
        <v>121</v>
      </c>
      <c r="AB2" t="str">
        <f>MID(A2,4,2)</f>
        <v>01</v>
      </c>
      <c r="AC2" t="str">
        <f>RIGHT(A2,2)</f>
        <v>01</v>
      </c>
      <c r="AD2">
        <f>LEN(A2)</f>
        <v>7</v>
      </c>
      <c r="AE2">
        <f ca="1">DATEDIF(I2, TODAY(), "Y")</f>
        <v>26</v>
      </c>
      <c r="AF2">
        <f ca="1">_xlfn.DAYS(TODAY(),I2)</f>
        <v>9542</v>
      </c>
      <c r="AG2">
        <f>DAY(I2)</f>
        <v>1</v>
      </c>
      <c r="AH2">
        <f>MONTH(I2)</f>
        <v>1</v>
      </c>
      <c r="AI2">
        <f>YEAR(I2)</f>
        <v>2000</v>
      </c>
    </row>
    <row r="3" spans="1:35" x14ac:dyDescent="0.35">
      <c r="A3" s="2">
        <v>1220201</v>
      </c>
      <c r="B3" s="2" t="s">
        <v>11</v>
      </c>
      <c r="C3" s="2">
        <v>67</v>
      </c>
      <c r="D3" s="2">
        <v>56</v>
      </c>
      <c r="E3" s="2">
        <v>78</v>
      </c>
      <c r="F3" s="2">
        <v>85</v>
      </c>
      <c r="G3" s="2">
        <v>82</v>
      </c>
      <c r="H3" s="2" t="s">
        <v>12</v>
      </c>
      <c r="I3" s="3">
        <v>36571</v>
      </c>
      <c r="J3">
        <f t="shared" ref="J3:J5" si="0">SUM(C3:D3)</f>
        <v>123</v>
      </c>
      <c r="K3">
        <f t="shared" ref="K3:K5" si="1">SUM(C3:D3,B$7)</f>
        <v>133</v>
      </c>
      <c r="L3">
        <f t="shared" ref="L3:L5" si="2">PRODUCT(C3:D3)</f>
        <v>3752</v>
      </c>
      <c r="M3">
        <f t="shared" ref="M3:M5" si="3">AVERAGE(C3:D3)</f>
        <v>61.5</v>
      </c>
      <c r="N3">
        <f t="shared" ref="N3:N5" si="4">SUM(E3:G3)</f>
        <v>245</v>
      </c>
      <c r="O3">
        <f t="shared" ref="O3:O5" si="5">AVERAGE(E3:G3)</f>
        <v>81.666666666666671</v>
      </c>
      <c r="P3">
        <f t="shared" ref="P3:P5" si="6">_xlfn.RANK.AVG(N3,$N$2:$N$5,0)</f>
        <v>4</v>
      </c>
      <c r="Q3" t="b" cm="1">
        <f t="array" ref="Q3">AND(E3:G3&gt;85)</f>
        <v>0</v>
      </c>
      <c r="R3" t="str">
        <f t="shared" ref="R3:R5" si="7">IF(E3&gt;=90,"A",IF(E3&gt;=75,"B","C"))</f>
        <v>B</v>
      </c>
      <c r="S3" t="str">
        <f t="shared" ref="S3:S5" si="8">IF(F3&gt;=90,"A",IF(F3&gt;=75,"B","C"))</f>
        <v>B</v>
      </c>
      <c r="T3" t="str">
        <f t="shared" ref="T3:T5" si="9">IF(G3&gt;=90,"A",IF(G3&gt;=75,"B","C"))</f>
        <v>B</v>
      </c>
      <c r="U3" t="str">
        <f t="shared" ref="U3:U5" si="10">IF(O3&gt;=90,"distinction","no distinction")</f>
        <v>no distinction</v>
      </c>
      <c r="V3" t="str">
        <f t="shared" ref="V3:V5" si="11">IF(O3&gt;=40,"pass","fail")</f>
        <v>pass</v>
      </c>
      <c r="W3" t="str">
        <f t="shared" ref="W3:W5" si="12">UPPER(H3)</f>
        <v>EARTH IS THE BLUE PLANET</v>
      </c>
      <c r="X3" t="str">
        <f t="shared" ref="X3:X5" si="13">LOWER(H3)</f>
        <v>earth is the blue planet</v>
      </c>
      <c r="Z3">
        <f t="shared" ref="Z3:Z5" si="14">LEN(H3)</f>
        <v>24</v>
      </c>
      <c r="AA3" t="str">
        <f t="shared" ref="AA3:AA5" si="15">LEFT(A3,3)</f>
        <v>122</v>
      </c>
      <c r="AB3" t="str">
        <f t="shared" ref="AB3:AB5" si="16">MID(A3,4,2)</f>
        <v>02</v>
      </c>
      <c r="AC3" t="str">
        <f t="shared" ref="AC3:AC5" si="17">RIGHT(A3,2)</f>
        <v>01</v>
      </c>
      <c r="AD3">
        <f t="shared" ref="AD3:AD5" si="18">LEN(A3)</f>
        <v>7</v>
      </c>
      <c r="AE3">
        <f t="shared" ref="AE3:AE5" ca="1" si="19">DATEDIF(I3, TODAY(), "Y")</f>
        <v>26</v>
      </c>
      <c r="AF3">
        <f t="shared" ref="AF3:AF5" ca="1" si="20">_xlfn.DAYS(TODAY(),I3)</f>
        <v>9497</v>
      </c>
      <c r="AG3">
        <f t="shared" ref="AG3:AG5" si="21">DAY(I3)</f>
        <v>15</v>
      </c>
      <c r="AH3">
        <f t="shared" ref="AH3:AH5" si="22">MONTH(I3)</f>
        <v>2</v>
      </c>
      <c r="AI3">
        <f t="shared" ref="AI3:AI5" si="23">YEAR(I3)</f>
        <v>2000</v>
      </c>
    </row>
    <row r="4" spans="1:35" x14ac:dyDescent="0.35">
      <c r="A4" s="2">
        <v>1210203</v>
      </c>
      <c r="B4" s="2" t="s">
        <v>13</v>
      </c>
      <c r="C4" s="2">
        <v>45</v>
      </c>
      <c r="D4" s="2">
        <v>1</v>
      </c>
      <c r="E4" s="2">
        <v>90</v>
      </c>
      <c r="F4" s="2">
        <v>92</v>
      </c>
      <c r="G4" s="2">
        <v>95</v>
      </c>
      <c r="H4" s="2" t="s">
        <v>14</v>
      </c>
      <c r="I4" s="3">
        <v>36590</v>
      </c>
      <c r="J4">
        <f t="shared" si="0"/>
        <v>46</v>
      </c>
      <c r="K4">
        <f t="shared" si="1"/>
        <v>56</v>
      </c>
      <c r="L4">
        <f t="shared" si="2"/>
        <v>45</v>
      </c>
      <c r="M4">
        <f t="shared" si="3"/>
        <v>23</v>
      </c>
      <c r="N4">
        <f t="shared" si="4"/>
        <v>277</v>
      </c>
      <c r="O4">
        <f t="shared" si="5"/>
        <v>92.333333333333329</v>
      </c>
      <c r="P4">
        <f t="shared" si="6"/>
        <v>1</v>
      </c>
      <c r="Q4" t="b" cm="1">
        <f t="array" ref="Q4">AND(E4:G4&gt;85)</f>
        <v>1</v>
      </c>
      <c r="R4" t="str">
        <f t="shared" si="7"/>
        <v>A</v>
      </c>
      <c r="S4" t="str">
        <f t="shared" si="8"/>
        <v>A</v>
      </c>
      <c r="T4" t="str">
        <f t="shared" si="9"/>
        <v>A</v>
      </c>
      <c r="U4" t="str">
        <f t="shared" si="10"/>
        <v>distinction</v>
      </c>
      <c r="V4" t="str">
        <f t="shared" si="11"/>
        <v>pass</v>
      </c>
      <c r="W4" t="str">
        <f t="shared" si="12"/>
        <v>TUESDAY</v>
      </c>
      <c r="X4" t="str">
        <f t="shared" si="13"/>
        <v>tuesday</v>
      </c>
      <c r="Z4">
        <f t="shared" si="14"/>
        <v>7</v>
      </c>
      <c r="AA4" t="str">
        <f t="shared" si="15"/>
        <v>121</v>
      </c>
      <c r="AB4" t="str">
        <f t="shared" si="16"/>
        <v>02</v>
      </c>
      <c r="AC4" t="str">
        <f t="shared" si="17"/>
        <v>03</v>
      </c>
      <c r="AD4">
        <f t="shared" si="18"/>
        <v>7</v>
      </c>
      <c r="AE4">
        <f t="shared" ca="1" si="19"/>
        <v>25</v>
      </c>
      <c r="AF4">
        <f t="shared" ca="1" si="20"/>
        <v>9478</v>
      </c>
      <c r="AG4">
        <f t="shared" si="21"/>
        <v>5</v>
      </c>
      <c r="AH4">
        <f t="shared" si="22"/>
        <v>3</v>
      </c>
      <c r="AI4">
        <f t="shared" si="23"/>
        <v>2000</v>
      </c>
    </row>
    <row r="5" spans="1:35" x14ac:dyDescent="0.35">
      <c r="A5" s="2">
        <v>1240104</v>
      </c>
      <c r="B5" s="2" t="s">
        <v>15</v>
      </c>
      <c r="C5" s="2">
        <v>-2</v>
      </c>
      <c r="D5" s="2">
        <v>32</v>
      </c>
      <c r="E5" s="2">
        <v>92</v>
      </c>
      <c r="F5" s="2">
        <v>95</v>
      </c>
      <c r="G5" s="2">
        <v>89</v>
      </c>
      <c r="H5" s="2" t="s">
        <v>16</v>
      </c>
      <c r="I5" s="3">
        <v>36626</v>
      </c>
      <c r="J5">
        <f t="shared" si="0"/>
        <v>30</v>
      </c>
      <c r="K5">
        <f t="shared" si="1"/>
        <v>40</v>
      </c>
      <c r="L5">
        <f t="shared" si="2"/>
        <v>-64</v>
      </c>
      <c r="M5">
        <f t="shared" si="3"/>
        <v>15</v>
      </c>
      <c r="N5">
        <f t="shared" si="4"/>
        <v>276</v>
      </c>
      <c r="O5">
        <f t="shared" si="5"/>
        <v>92</v>
      </c>
      <c r="P5">
        <f t="shared" si="6"/>
        <v>2</v>
      </c>
      <c r="Q5" t="b" cm="1">
        <f t="array" ref="Q5">AND(E5:G5&gt;85)</f>
        <v>1</v>
      </c>
      <c r="R5" t="str">
        <f t="shared" si="7"/>
        <v>A</v>
      </c>
      <c r="S5" t="str">
        <f t="shared" si="8"/>
        <v>A</v>
      </c>
      <c r="T5" t="str">
        <f t="shared" si="9"/>
        <v>B</v>
      </c>
      <c r="U5" t="str">
        <f t="shared" si="10"/>
        <v>distinction</v>
      </c>
      <c r="V5" t="str">
        <f t="shared" si="11"/>
        <v>pass</v>
      </c>
      <c r="W5" t="str">
        <f t="shared" si="12"/>
        <v>MY BIRTHDAY IS IN JANUARY</v>
      </c>
      <c r="X5" t="str">
        <f t="shared" si="13"/>
        <v>my birthday is in january</v>
      </c>
      <c r="Z5">
        <f t="shared" si="14"/>
        <v>25</v>
      </c>
      <c r="AA5" t="str">
        <f t="shared" si="15"/>
        <v>124</v>
      </c>
      <c r="AB5" t="str">
        <f t="shared" si="16"/>
        <v>01</v>
      </c>
      <c r="AC5" t="str">
        <f t="shared" si="17"/>
        <v>04</v>
      </c>
      <c r="AD5">
        <f t="shared" si="18"/>
        <v>7</v>
      </c>
      <c r="AE5">
        <f t="shared" ca="1" si="19"/>
        <v>25</v>
      </c>
      <c r="AF5">
        <f t="shared" ca="1" si="20"/>
        <v>9442</v>
      </c>
      <c r="AG5">
        <f t="shared" si="21"/>
        <v>10</v>
      </c>
      <c r="AH5">
        <f t="shared" si="22"/>
        <v>4</v>
      </c>
      <c r="AI5">
        <f t="shared" si="23"/>
        <v>2000</v>
      </c>
    </row>
    <row r="7" spans="1:35" x14ac:dyDescent="0.35">
      <c r="A7" t="s">
        <v>19</v>
      </c>
      <c r="B7">
        <v>10</v>
      </c>
    </row>
    <row r="10" spans="1:35" x14ac:dyDescent="0.35">
      <c r="A10" s="4" t="s">
        <v>22</v>
      </c>
      <c r="B10" s="4" t="s">
        <v>23</v>
      </c>
      <c r="C10" s="4" t="s">
        <v>24</v>
      </c>
    </row>
    <row r="11" spans="1:35" x14ac:dyDescent="0.35">
      <c r="A11" t="s">
        <v>17</v>
      </c>
      <c r="B11">
        <f>MAX(J2:J5)</f>
        <v>123</v>
      </c>
      <c r="C11">
        <f>MIN(J2:J5)</f>
        <v>29</v>
      </c>
    </row>
    <row r="12" spans="1:35" x14ac:dyDescent="0.35">
      <c r="A12" t="s">
        <v>25</v>
      </c>
      <c r="B12">
        <f>MAX(K2:K5)</f>
        <v>133</v>
      </c>
      <c r="C12">
        <f>MIN(K2:K5)</f>
        <v>39</v>
      </c>
    </row>
    <row r="13" spans="1:35" x14ac:dyDescent="0.35">
      <c r="A13" t="s">
        <v>20</v>
      </c>
      <c r="B13">
        <f>MAX(L2:L5)</f>
        <v>3752</v>
      </c>
      <c r="C13">
        <f>MIN(L2:L5)</f>
        <v>-64</v>
      </c>
    </row>
    <row r="14" spans="1:35" x14ac:dyDescent="0.35">
      <c r="A14" t="s">
        <v>21</v>
      </c>
      <c r="B14">
        <f>MAX(M2:M5)</f>
        <v>61.5</v>
      </c>
      <c r="C14">
        <f>MIN(M2:M5)</f>
        <v>14.5</v>
      </c>
    </row>
  </sheetData>
  <pageMargins left="0.7" right="0.7" top="0.75" bottom="0.75" header="0.3" footer="0.3"/>
  <pageSetup orientation="portrait" r:id="rId1"/>
  <ignoredErrors>
    <ignoredError sqref="J2:J5 K2:K5 L2:L5 M2:M5 N2:N5 O2:O5 Q2:Q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2026-02-15T05:23:31Z</dcterms:created>
  <dcterms:modified xsi:type="dcterms:W3CDTF">2026-02-15T05:54:28Z</dcterms:modified>
</cp:coreProperties>
</file>